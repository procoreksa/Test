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Database" sheetId="1" state="visible" r:id="rId3"/>
    <sheet name="Al Khobar" sheetId="2" state="visible" r:id="rId4"/>
    <sheet name="Dammam" sheetId="3" state="visible" r:id="rId5"/>
    <sheet name="Jubail" sheetId="4" state="visible" r:id="rId6"/>
    <sheet name="Priority Leads" sheetId="5" state="visible" r:id="rId7"/>
    <sheet name="Contact Verification" sheetId="6" state="visible" r:id="rId8"/>
    <sheet name="Business Development Tracker" sheetId="7" state="visible" r:id="rId9"/>
    <sheet name="Sources" sheetId="8" state="visible" r:id="rId10"/>
  </sheets>
  <definedNames>
    <definedName function="false" hidden="true" localSheetId="1" name="_xlnm._FilterDatabase" vbProcedure="false">'Al Khobar'!$A$1:$AQ$86</definedName>
    <definedName function="false" hidden="true" localSheetId="6" name="_xlnm._FilterDatabase" vbProcedure="false">'Business Development Tracker'!$A$1:$K$86</definedName>
    <definedName function="false" hidden="true" localSheetId="5" name="_xlnm._FilterDatabase" vbProcedure="false">'Contact Verification'!$A$1:$K$64</definedName>
    <definedName function="false" hidden="true" localSheetId="2" name="_xlnm._FilterDatabase" vbProcedure="false">Dammam!$A$1:$AQ$2</definedName>
    <definedName function="false" hidden="true" localSheetId="3" name="_xlnm._FilterDatabase" vbProcedure="false">Jubail!$A$1:$AQ$2</definedName>
    <definedName function="false" hidden="true" localSheetId="0" name="_xlnm._FilterDatabase" vbProcedure="false">'Master Database'!$A$1:$AQ$86</definedName>
    <definedName function="false" hidden="true" localSheetId="4" name="_xlnm._FilterDatabase" vbProcedure="false">'Priority Leads'!$A$1:$N$86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<sst xmlns="http://schemas.openxmlformats.org/spreadsheetml/2006/main" count="5009" uniqueCount="833">
  <si>
    <t xml:space="preserve">ID</t>
  </si>
  <si>
    <t xml:space="preserve">Compound (EN)</t>
  </si>
  <si>
    <t xml:space="preserve">Compound (AR)</t>
  </si>
  <si>
    <t xml:space="preserve">City</t>
  </si>
  <si>
    <t xml:space="preserve">District</t>
  </si>
  <si>
    <t xml:space="preserve">Address</t>
  </si>
  <si>
    <t xml:space="preserve">Google Maps</t>
  </si>
  <si>
    <t xml:space="preserve">Latitude</t>
  </si>
  <si>
    <t xml:space="preserve">Longitude</t>
  </si>
  <si>
    <t xml:space="preserve">Compound Type</t>
  </si>
  <si>
    <t xml:space="preserve">Category</t>
  </si>
  <si>
    <t xml:space="preserve">Status</t>
  </si>
  <si>
    <t xml:space="preserve">Opened</t>
  </si>
  <si>
    <t xml:space="preserve">Units</t>
  </si>
  <si>
    <t xml:space="preserve">Unit Types</t>
  </si>
  <si>
    <t xml:space="preserve">Facilities</t>
  </si>
  <si>
    <t xml:space="preserve">Website</t>
  </si>
  <si>
    <t xml:space="preserve">Main Phone</t>
  </si>
  <si>
    <t xml:space="preserve">Mobile</t>
  </si>
  <si>
    <t xml:space="preserve">WhatsApp</t>
  </si>
  <si>
    <t xml:space="preserve">Emails</t>
  </si>
  <si>
    <t xml:space="preserve">Instagram</t>
  </si>
  <si>
    <t xml:space="preserve">Facebook</t>
  </si>
  <si>
    <t xml:space="preserve">LinkedIn</t>
  </si>
  <si>
    <t xml:space="preserve">Other Social</t>
  </si>
  <si>
    <t xml:space="preserve">Owner</t>
  </si>
  <si>
    <t xml:space="preserve">Developer</t>
  </si>
  <si>
    <t xml:space="preserve">Property Manager / Operator</t>
  </si>
  <si>
    <t xml:space="preserve">Management Type</t>
  </si>
  <si>
    <t xml:space="preserve">Ownership Source</t>
  </si>
  <si>
    <t xml:space="preserve">Contact Verification</t>
  </si>
  <si>
    <t xml:space="preserve">Opportunities</t>
  </si>
  <si>
    <t xml:space="preserve">Size (20)</t>
  </si>
  <si>
    <t xml:space="preserve">Fit (25)</t>
  </si>
  <si>
    <t xml:space="preserve">Need (20)</t>
  </si>
  <si>
    <t xml:space="preserve">Contact (15)</t>
  </si>
  <si>
    <t xml:space="preserve">Party (10)</t>
  </si>
  <si>
    <t xml:space="preserve">Collab (10)</t>
  </si>
  <si>
    <t xml:space="preserve">Lead Score</t>
  </si>
  <si>
    <t xml:space="preserve">Priority</t>
  </si>
  <si>
    <t xml:space="preserve">Notes</t>
  </si>
  <si>
    <t xml:space="preserve">Sources</t>
  </si>
  <si>
    <t xml:space="preserve">Last Checked</t>
  </si>
  <si>
    <t xml:space="preserve">KHB-001</t>
  </si>
  <si>
    <t xml:space="preserve">Canary Village</t>
  </si>
  <si>
    <t xml:space="preserve">Al Khobar</t>
  </si>
  <si>
    <t xml:space="preserve">KSA</t>
  </si>
  <si>
    <t xml:space="preserve">Open map</t>
  </si>
  <si>
    <t xml:space="preserve">Villa Compound</t>
  </si>
  <si>
    <t xml:space="preserve">Residential compound</t>
  </si>
  <si>
    <t xml:space="preserve">Operating (listed)</t>
  </si>
  <si>
    <t xml:space="preserve">Furnished 3-bed villas</t>
  </si>
  <si>
    <t xml:space="preserve">Gym Swimming Pool Reserved Parking Baby Nursery Beauty Salon Restaurant Ballroom Billiard Tables Squash Court Basketball Court Volleyball Court Wireless Internet Tennis Court Satellite Cable Pre-school Centre Recreational Room Table Tennis Bus Transp</t>
  </si>
  <si>
    <t xml:space="preserve">https://www.canaryvillage.com/</t>
  </si>
  <si>
    <t xml:space="preserve">+966138590895</t>
  </si>
  <si>
    <t xml:space="preserve">+966534022218</t>
  </si>
  <si>
    <t xml:space="preserve">leasing@canaryvillage.com ; rental.office@canaryvillage.com</t>
  </si>
  <si>
    <t xml:space="preserve">https://www.instagram.com/canaryvillage</t>
  </si>
  <si>
    <t xml:space="preserve">https://www.facebook.com/canary.canary.714</t>
  </si>
  <si>
    <t xml:space="preserve">https://twitter.com/canaryvillage</t>
  </si>
  <si>
    <t xml:space="preserve">Rashed Al Rashed &amp; Sons Group</t>
  </si>
  <si>
    <t xml:space="preserve">Owner Managed</t>
  </si>
  <si>
    <t xml:space="preserve">https://rightcompound.com/compounds/khobar/canary-village</t>
  </si>
  <si>
    <t xml:space="preserve">Verified</t>
  </si>
  <si>
    <t xml:space="preserve">Property management, Marketing &amp; leasing, Paid ad campaigns</t>
  </si>
  <si>
    <t xml:space="preserve">https://rightcompound.com/compounds/khobar/canary-village ; https://whichschooladvisor.com/saudi/area-guide/eastern-province/al-khobar ; https://www.expat.com/en/forum/middle-east/saudi-arabia/khobar/778968-list-of-some-compounds-in-al-khobar-ksa.html ; https://www.canaryvillage.com/</t>
  </si>
  <si>
    <t xml:space="preserve">2026-10-11</t>
  </si>
  <si>
    <t xml:space="preserve">KHB-002</t>
  </si>
  <si>
    <t xml:space="preserve">Canary Vista</t>
  </si>
  <si>
    <t xml:space="preserve">Al Maha / Al Aziziyah</t>
  </si>
  <si>
    <t xml:space="preserve">Villas</t>
  </si>
  <si>
    <t xml:space="preserve">https://canary-vista.com/</t>
  </si>
  <si>
    <t xml:space="preserve">+966138494999</t>
  </si>
  <si>
    <t xml:space="preserve">+966534022276</t>
  </si>
  <si>
    <t xml:space="preserve">rentaloffice@canaryvista.com</t>
  </si>
  <si>
    <t xml:space="preserve">https://instagram.com/canaryvistacommunity</t>
  </si>
  <si>
    <t xml:space="preserve">https://www.facebook.com/2070283359669619</t>
  </si>
  <si>
    <t xml:space="preserve">Unknown</t>
  </si>
  <si>
    <t xml:space="preserve">Former owner Qatif Concessions Management Co. (ExxonMobil) until 2007 per WhichSchoolAdvisor; current owner not confirmed. Same 013 849 4999 number also appears on a Dhahran Tower Beach listing.</t>
  </si>
  <si>
    <t xml:space="preserve">https://whichschooladvisor.com/saudi/area-guide/eastern-province/al-khobar ; https://compoundin.com/compounds/khobar/canary-vista ; https://canary-vista.com/</t>
  </si>
  <si>
    <t xml:space="preserve">KHB-003</t>
  </si>
  <si>
    <t xml:space="preserve">Eurovillage</t>
  </si>
  <si>
    <t xml:space="preserve">Prince Sultan Road (central Khobar)</t>
  </si>
  <si>
    <t xml:space="preserve">https://www.eurovillage.sa/</t>
  </si>
  <si>
    <t xml:space="preserve">0138579780</t>
  </si>
  <si>
    <t xml:space="preserve">https://www.instagram.com/eurovillage_compound</t>
  </si>
  <si>
    <t xml:space="preserve">https://www.facebook.com/EuroVillageSA</t>
  </si>
  <si>
    <t xml:space="preserve">https://www.linkedin.com/company/eurovillage-compound</t>
  </si>
  <si>
    <t xml:space="preserve">Property management, Paid ad campaigns</t>
  </si>
  <si>
    <t xml:space="preserve">'Over 560 villas' per expat guides; unit count not stated on official site.</t>
  </si>
  <si>
    <t xml:space="preserve">https://soulofsaudi.com/best-compounds-in-saudi-arabia-for-expats/ ; https://www.expat.com/en/forum/middle-east/saudi-arabia/khobar/778968-list-of-some-compounds-in-al-khobar-ksa.html ; https://www.eurovillage.sa/contact/</t>
  </si>
  <si>
    <t xml:space="preserve">KHB-004</t>
  </si>
  <si>
    <t xml:space="preserve">Las Dunas Compound</t>
  </si>
  <si>
    <t xml:space="preserve">Ar Rawabi</t>
  </si>
  <si>
    <t xml:space="preserve">https://www.lasdunas-sa.com/</t>
  </si>
  <si>
    <t xml:space="preserve">+966505876327</t>
  </si>
  <si>
    <t xml:space="preserve">info@lasdunas-sa.com</t>
  </si>
  <si>
    <t xml:space="preserve">Property management, Marketing &amp; leasing, Social media management</t>
  </si>
  <si>
    <t xml:space="preserve">https://whichschooladvisor.com/saudi/area-guide/eastern-province/al-khobar ; https://www.lasdunas-sa.com/</t>
  </si>
  <si>
    <t xml:space="preserve">KHB-005</t>
  </si>
  <si>
    <t xml:space="preserve">Riviera Waterfront Village</t>
  </si>
  <si>
    <t xml:space="preserve">ريفييرا قرية الواجهة البحرية</t>
  </si>
  <si>
    <t xml:space="preserve">Ishbiliya</t>
  </si>
  <si>
    <t xml:space="preserve">Ishbiliya, Al Khobar 34712</t>
  </si>
  <si>
    <t xml:space="preserve">Luxury Residential Compound</t>
  </si>
  <si>
    <t xml:space="preserve">Studios, 1-3 bed apartments, villas</t>
  </si>
  <si>
    <t xml:space="preserve">Gym Swimming Pool Kindergarten Reserved Parking Baby Nursery Beauty Salon Restaurant Ballroom Snack Bar Billiard Tables Squash Court Basketball Court Wireless Internet Tennis Court Satellite Cable Commercial Centre Recreational Room Business Centre T</t>
  </si>
  <si>
    <t xml:space="preserve">https://www.rivieracompound.com/</t>
  </si>
  <si>
    <t xml:space="preserve">0138193555</t>
  </si>
  <si>
    <t xml:space="preserve">0580875741</t>
  </si>
  <si>
    <t xml:space="preserve">https://www.instagram.com/rivieracompound</t>
  </si>
  <si>
    <t xml:space="preserve">https://www.facebook.com/Rivieracompoundsa</t>
  </si>
  <si>
    <t xml:space="preserve">https://www.linkedin.com/showcase/rivieracompound</t>
  </si>
  <si>
    <t xml:space="preserve">https://www.snapchat.com/add/compoundriviera ; https://twitter.com/RivieraCompound</t>
  </si>
  <si>
    <t xml:space="preserve">https://rightcompound.com/compounds/khobar/riviera-waterfront-village ; https://whichschooladvisor.com/saudi/area-guide/eastern-province/al-khobar ; https://www.rivieracompound.com/</t>
  </si>
  <si>
    <t xml:space="preserve">KHB-006</t>
  </si>
  <si>
    <t xml:space="preserve">Al Mohamadia Compound</t>
  </si>
  <si>
    <t xml:space="preserve">مجمع المحمدية</t>
  </si>
  <si>
    <t xml:space="preserve">Al Sadafah</t>
  </si>
  <si>
    <t xml:space="preserve">Mixed Residential Compound</t>
  </si>
  <si>
    <t xml:space="preserve">Villas, apartments, studios</t>
  </si>
  <si>
    <t xml:space="preserve">Gym Swimming Pool Reserved Parking Baby Nursery Beauty Salon Restaurant Snack Bar Billiard Tables Basketball Court Volleyball Court Wireless Internet Tennis Court Satellite Cable Recreational Room Table Tennis Bus Transportation</t>
  </si>
  <si>
    <t xml:space="preserve">https://www.al-othman.com/ar/al-mohamadia-compound</t>
  </si>
  <si>
    <t xml:space="preserve">+966138142288</t>
  </si>
  <si>
    <t xml:space="preserve">info@al-othman.com</t>
  </si>
  <si>
    <t xml:space="preserve">https://instagram.com/alothman.holding</t>
  </si>
  <si>
    <t xml:space="preserve">https://www.facebook.com/pages/AlOthman-Holding/1492267767733144</t>
  </si>
  <si>
    <t xml:space="preserve">https://www.linkedin.com/company/al--othman-holding-company</t>
  </si>
  <si>
    <t xml:space="preserve">Al Othman Holding Company</t>
  </si>
  <si>
    <t xml:space="preserve">https://rightcompound.com/compounds/khobar/mohamadia-compound</t>
  </si>
  <si>
    <t xml:space="preserve">Unit count differs: 262 (Property Finder), 96 (RightCompound), 1,152 (WhichSchoolAdvisor). Contacts are the holding company's.</t>
  </si>
  <si>
    <t xml:space="preserve">https://rightcompound.com/compounds/khobar/mohamadia-compound ; https://www.propertyfinder.sa/blog/%D9%83%D9%85%D8%A8%D9%88%D9%86%D8%AF%D8%A7%D8%AA-%D8%A7%D9%84%D8%AE%D8%A8%D8%B1-%D9%85%D8%AC%D9%85%D8%B9%D8%A7%D8%AA-%D8%B3%D9%83%D9%86%D9%8A%D8%A9-%D8%B9%D8%A7%D9%84%D9%85%D9%8A%D8%A9-%D8%B9%D9%84/ ; https://whichschooladvisor.com/saudi/area-guide/eastern-province/al-khobar ; https://www.al-othman.com/ar/al-mohamadia-compound</t>
  </si>
  <si>
    <t xml:space="preserve">KHB-007</t>
  </si>
  <si>
    <t xml:space="preserve">Zamil Village</t>
  </si>
  <si>
    <t xml:space="preserve">Al Qashlah</t>
  </si>
  <si>
    <t xml:space="preserve">958F+CJ8, Al Qashlah, Al Khobar 34232</t>
  </si>
  <si>
    <t xml:space="preserve">168 apartments, 86 villas</t>
  </si>
  <si>
    <t xml:space="preserve">Gym Swimming Pool Kindergarten Reserved Parking Baby Nursery Library Beauty Salon Restaurant Ballroom Snack Bar Billiard Tables Squash Court Basketball Court Volleyball Court Wireless Internet Tennis Court Satellite Cable Pre-school Centre Recreation</t>
  </si>
  <si>
    <t xml:space="preserve">https://zamilrealestate.com/en</t>
  </si>
  <si>
    <t xml:space="preserve">+966138136225</t>
  </si>
  <si>
    <t xml:space="preserve">info@zamilre.com ; marketing@zamilre.com</t>
  </si>
  <si>
    <t xml:space="preserve">https://x.com/ZamilGroup</t>
  </si>
  <si>
    <t xml:space="preserve">Zamil Real Estate</t>
  </si>
  <si>
    <t xml:space="preserve">Developer Managed</t>
  </si>
  <si>
    <t xml:space="preserve">https://whichschooladvisor.com/saudi/area-guide/eastern-province/al-khobar</t>
  </si>
  <si>
    <t xml:space="preserve">Marketing &amp; leasing, Paid ad campaigns</t>
  </si>
  <si>
    <t xml:space="preserve">https://rightcompound.com/compounds/khobar/zamil-village-residential-compound ; https://whichschooladvisor.com/saudi/area-guide/eastern-province/al-khobar ; https://zamilrealestate.com/en</t>
  </si>
  <si>
    <t xml:space="preserve">KHB-008</t>
  </si>
  <si>
    <t xml:space="preserve">Wadi Village</t>
  </si>
  <si>
    <t xml:space="preserve">Qurtubah</t>
  </si>
  <si>
    <t xml:space="preserve">Villas and apartments</t>
  </si>
  <si>
    <t xml:space="preserve">Gym Swimming Pool Reserved Parking Library Restaurant Billiard Tables Squash Court Basketball Court Volleyball Court Wireless Internet Tennis Court Satellite Cable Recreational Room Table Tennis Bus Transportation Garbage Chute Children Playground Pe</t>
  </si>
  <si>
    <t xml:space="preserve">Third-Party Property Management</t>
  </si>
  <si>
    <t xml:space="preserve">Not Available</t>
  </si>
  <si>
    <t xml:space="preserve">Marketing &amp; leasing, Social media management, Content &amp; photography</t>
  </si>
  <si>
    <t xml:space="preserve">WhichSchoolAdvisor says 'British management' (unnamed) and links to zamilrealestate.com; operator not confirmed.</t>
  </si>
  <si>
    <t xml:space="preserve">https://rightcompound.com/compounds/khobar/al-wadi-village ; https://whichschooladvisor.com/saudi/area-guide/eastern-province/al-khobar</t>
  </si>
  <si>
    <t xml:space="preserve">KHB-009</t>
  </si>
  <si>
    <t xml:space="preserve">Arabian Village (Arabian Homes)</t>
  </si>
  <si>
    <t xml:space="preserve">Qutuba district , Al Khobar</t>
  </si>
  <si>
    <t xml:space="preserve">2008</t>
  </si>
  <si>
    <t xml:space="preserve">108 apartments, 26 villas</t>
  </si>
  <si>
    <t xml:space="preserve">Gym Swimming Pool Reserved Parking Baby Nursery Library Restaurant Billiard Tables Squash Court Basketball Court Volleyball Court Wireless Internet Tennis Court Satellite Cable Recreational Room Table Tennis Bus Transportation Garbage Chute Children </t>
  </si>
  <si>
    <t xml:space="preserve">Units: 134 (WhichSchoolAdvisor) vs 126 (RightCompound). 'Managed by a British team' (unnamed).</t>
  </si>
  <si>
    <t xml:space="preserve">https://rightcompound.com/compounds/khobar/arabian-homes-al-khobar ; https://whichschooladvisor.com/saudi/area-guide/eastern-province/al-khobar</t>
  </si>
  <si>
    <t xml:space="preserve">KHB-010</t>
  </si>
  <si>
    <t xml:space="preserve">Retal Residence</t>
  </si>
  <si>
    <t xml:space="preserve">Al Rakah</t>
  </si>
  <si>
    <t xml:space="preserve">Retal Residence - 9268 Salma Bin Suliman Str.</t>
  </si>
  <si>
    <t xml:space="preserve">Gym Swimming Pool Kindergarten Reserved Parking Baby Nursery Library Beauty Salon Restaurant Ballroom Snack Bar Billiard Tables Squash Court Basketball Court Volleyball Court Wireless Internet Tennis Court Satellite Cable Pre-school Centre Commercial</t>
  </si>
  <si>
    <t xml:space="preserve">https://www.retalresidence.com/</t>
  </si>
  <si>
    <t xml:space="preserve">+966138259600</t>
  </si>
  <si>
    <t xml:space="preserve">+966562416136</t>
  </si>
  <si>
    <t xml:space="preserve">info@retalresidence.com ; sales@retalresidence.com</t>
  </si>
  <si>
    <t xml:space="preserve">https://rightcompound.com/compounds/khobar/retal-residence ; https://compoundin.com/rent/listing/1/0/0-0 ; https://www.retalresidence.com/</t>
  </si>
  <si>
    <t xml:space="preserve">KHB-011</t>
  </si>
  <si>
    <t xml:space="preserve">Grand Village</t>
  </si>
  <si>
    <t xml:space="preserve">جراند فيلج</t>
  </si>
  <si>
    <t xml:space="preserve">North Khobar (Prince Saud Al Faisal Rd)</t>
  </si>
  <si>
    <t xml:space="preserve">Villas, townhouses, duplexes (furnished)</t>
  </si>
  <si>
    <t xml:space="preserve">https://www.grandvillage.com.sa/</t>
  </si>
  <si>
    <t xml:space="preserve">+966551222424</t>
  </si>
  <si>
    <t xml:space="preserve">info@grandvillage.com.sa</t>
  </si>
  <si>
    <t xml:space="preserve">Cross-Checked</t>
  </si>
  <si>
    <t xml:space="preserve">https://www.propertyfinder.sa/blog/%D9%83%D9%85%D8%A8%D9%88%D9%86%D8%AF%D8%A7%D8%AA-%D8%A7%D9%84%D8%AE%D8%A8%D8%B1-%D9%85%D8%AC%D9%85%D8%B9%D8%A7%D8%AA-%D8%B3%D9%83%D9%86%D9%8A%D8%A9-%D8%B9%D8%A7%D9%84%D9%85%D9%8A%D8%A9-%D8%B9%D9%84/ ; https://www.grandvillage.com.sa/</t>
  </si>
  <si>
    <t xml:space="preserve">KHB-012</t>
  </si>
  <si>
    <t xml:space="preserve">Alef Compound</t>
  </si>
  <si>
    <t xml:space="preserve">Ishbiliya / Aziziyah</t>
  </si>
  <si>
    <t xml:space="preserve">Ishbilia district, Aziziah</t>
  </si>
  <si>
    <t xml:space="preserve">Gym Swimming Pool Kindergarten Reserved Parking Baby Nursery Restaurant Snack Bar Billiard Tables Wireless Internet Satellite Cable Recreational Room Table Tennis Bus Transportation Garbage Chute Children Playground Pest Control Security 24/7 Laundry</t>
  </si>
  <si>
    <t xml:space="preserve">https://alef-home.com/</t>
  </si>
  <si>
    <t xml:space="preserve">info@alef-home.com</t>
  </si>
  <si>
    <t xml:space="preserve">https://www.instagram.com/alefkhobar</t>
  </si>
  <si>
    <t xml:space="preserve">https://www.facebook.com/Alef-Home-Compound-Khobar-Saudi-Arabia-105496395332383</t>
  </si>
  <si>
    <t xml:space="preserve">https://twitter.com/AlefHome</t>
  </si>
  <si>
    <t xml:space="preserve">https://rightcompound.com/compounds/khobar/alef-compound ; https://www.expat.com/en/forum/middle-east/saudi-arabia/khobar/778968-list-of-some-compounds-in-al-khobar-ksa.html ; https://alef-home.com/</t>
  </si>
  <si>
    <t xml:space="preserve">KHB-013</t>
  </si>
  <si>
    <t xml:space="preserve">Al Ansari Compound One</t>
  </si>
  <si>
    <t xml:space="preserve">Gym Swimming Pool Kindergarten Reserved Parking Baby Nursery Billiard Tables Squash Court Basketball Court Volleyball Court Wireless Internet Tennis Court Satellite Cable Recreational Room Bus Transportation Garbage Chute Children Playground Pest Con</t>
  </si>
  <si>
    <t xml:space="preserve">https://alansari.com.sa/</t>
  </si>
  <si>
    <t xml:space="preserve">+966138098913</t>
  </si>
  <si>
    <t xml:space="preserve">+966531223352</t>
  </si>
  <si>
    <t xml:space="preserve">info@alansari.com</t>
  </si>
  <si>
    <t xml:space="preserve">https://www.linkedin.com/company/al-ansari-holding-group</t>
  </si>
  <si>
    <t xml:space="preserve">Al Ansari Holding Group (name association)</t>
  </si>
  <si>
    <t xml:space="preserve">Abyan Real Estate Company</t>
  </si>
  <si>
    <t xml:space="preserve">https://rightcompound.com/compounds/khobar/al-ansary-compound</t>
  </si>
  <si>
    <t xml:space="preserve">Unverified</t>
  </si>
  <si>
    <t xml:space="preserve">Owner link to Al Ansari Holding inferred from WhichSchoolAdvisor linking alansari.com.sa; not confirmed.</t>
  </si>
  <si>
    <t xml:space="preserve">https://rightcompound.com/compounds/khobar/al-ansary-compound ; https://www.expat.com/en/forum/middle-east/saudi-arabia/khobar/778968-list-of-some-compounds-in-al-khobar-ksa.html ; https://alansari.com.sa/contact-us/</t>
  </si>
  <si>
    <t xml:space="preserve">KHB-014</t>
  </si>
  <si>
    <t xml:space="preserve">Al Ansari Compound Two</t>
  </si>
  <si>
    <t xml:space="preserve">Beside French School of Khobar</t>
  </si>
  <si>
    <t xml:space="preserve">Al Khobar, beside the French school of Khobar</t>
  </si>
  <si>
    <t xml:space="preserve">1-3 bed apartments, 3-bed villas</t>
  </si>
  <si>
    <t xml:space="preserve">Gym Swimming Pool Kindergarten Reserved Parking Snack Bar Billiard Tables Squash Court Basketball Court Volleyball Court Wireless Internet Tennis Court Satellite Cable Recreational Room Business Centre Table Tennis Bus Transportation Garbage Chute Ch</t>
  </si>
  <si>
    <t xml:space="preserve">https://rightcompound.com/compounds/khobar/al-ansari-compound-two-al-khobar</t>
  </si>
  <si>
    <t xml:space="preserve">Marketing &amp; leasing, Social media management</t>
  </si>
  <si>
    <t xml:space="preserve">https://rightcompound.com/compounds/khobar/al-ansari-compound-two-al-khobar ; https://whichschooladvisor.com/saudi/area-guide/eastern-province/al-khobar</t>
  </si>
  <si>
    <t xml:space="preserve">KHB-015</t>
  </si>
  <si>
    <t xml:space="preserve">Black Pearl Residential Compound</t>
  </si>
  <si>
    <t xml:space="preserve">مجمع اللؤلؤة السوداء (بلاك بيرل)</t>
  </si>
  <si>
    <t xml:space="preserve">Al Aziziyah</t>
  </si>
  <si>
    <t xml:space="preserve">Azzizyah</t>
  </si>
  <si>
    <t xml:space="preserve">VIP villas 272 sqm, villas 232 sqm, apartments 107 sqm</t>
  </si>
  <si>
    <t xml:space="preserve">Gym Swimming Pool Kindergarten Restaurant Billiard Tables Squash Court Basketball Court Volleyball Court Wireless Internet Tennis Court Satellite Cable Recreational Room Table Tennis Bus Transportation Children Playground Pest Control Security 24/7 M</t>
  </si>
  <si>
    <t xml:space="preserve">https://www.aswadgroup.com/info/al-aswad-compound</t>
  </si>
  <si>
    <t xml:space="preserve">+966138055050</t>
  </si>
  <si>
    <t xml:space="preserve">+966503105813</t>
  </si>
  <si>
    <t xml:space="preserve">info@aswadgroup.com</t>
  </si>
  <si>
    <t xml:space="preserve">Aswad Group (Al Aswad Compound)</t>
  </si>
  <si>
    <t xml:space="preserve">https://rightcompound.com/compounds/khobar/black-pearl-residential-compound ; https://whichschooladvisor.com/saudi/area-guide/eastern-province/al-khobar ; https://www.propertyfinder.sa/blog/%D9%83%D9%85%D8%A8%D9%88%D9%86%D8%AF%D8%A7%D8%AA-%D8%A7%D9%84%D8%AE%D8%A8%D8%B1-%D9%85%D8%AC%D9%85%D8%B9%D8%A7%D8%AA-%D8%B3%D9%83%D9%86%D9%8A%D8%A9-%D8%B9%D8%A7%D9%84%D9%85%D9%8A%D8%A9-%D8%B9%D9%84/ ; https://www.aswadgroup.com/info/al-aswad-compound</t>
  </si>
  <si>
    <t xml:space="preserve">KHB-016</t>
  </si>
  <si>
    <t xml:space="preserve">Jzala Residential Compound</t>
  </si>
  <si>
    <t xml:space="preserve">كمبوند جزالا</t>
  </si>
  <si>
    <t xml:space="preserve">King Saud St (Old Airport Rd)</t>
  </si>
  <si>
    <t xml:space="preserve">King Saud St</t>
  </si>
  <si>
    <t xml:space="preserve">Villas 240/260 sqm</t>
  </si>
  <si>
    <t xml:space="preserve">Gym Swimming Pool Reserved Parking Baby Nursery Library Restaurant Ballroom Snack Bar Squash Court Basketball Court Volleyball Court Wireless Internet Tennis Court Satellite Cable Recreational Room Business Centre Table Tennis Bus Transportation</t>
  </si>
  <si>
    <t xml:space="preserve">0507328261</t>
  </si>
  <si>
    <t xml:space="preserve">j1@jzala.net</t>
  </si>
  <si>
    <t xml:space="preserve">Property management, Marketing &amp; leasing, Social media management, Content &amp; photography, Integrated services</t>
  </si>
  <si>
    <t xml:space="preserve">'More than 100 villas' (Property Finder).</t>
  </si>
  <si>
    <t xml:space="preserve">https://rightcompound.com/compounds/khobar/jzala-residential-compound-i ; https://www.expat.com/en/forum/middle-east/saudi-arabia/khobar/778968-list-of-some-compounds-in-al-khobar-ksa.html ; https://www.propertyfinder.sa/blog/%D9%83%D9%85%D8%A8%D9%88%D9%86%D8%AF%D8%A7%D8%AA-%D8%A7%D9%84%D8%AE%D8%A8%D8%B1-%D9%85%D8%AC%D9%85%D8%B9%D8%A7%D8%AA-%D8%B3%D9%83%D9%86%D9%8A%D8%A9-%D8%B9%D8%A7%D9%84%D9%85%D9%8A%D8%A9-%D8%B9%D9%84/</t>
  </si>
  <si>
    <t xml:space="preserve">KHB-017</t>
  </si>
  <si>
    <t xml:space="preserve">Al Fares Residential Compound</t>
  </si>
  <si>
    <t xml:space="preserve">مجمع الفارس السكني</t>
  </si>
  <si>
    <t xml:space="preserve">Al Manara Al Bayda St (near Corniche)</t>
  </si>
  <si>
    <t xml:space="preserve">7292 Al Manarah Al Bayda</t>
  </si>
  <si>
    <t xml:space="preserve">4-bed villas 240 sqm</t>
  </si>
  <si>
    <t xml:space="preserve">Gym Swimming Pool Reserved Parking Ballroom Billiard Tables Wireless Internet Satellite Cable Table Tennis Children Playground Pest Control Security 24/7 Maintenance Barbecue Area Outdoor Children Playground Multipurpose Hall Shaded Parking Area Saun</t>
  </si>
  <si>
    <t xml:space="preserve">0500733111</t>
  </si>
  <si>
    <t xml:space="preserve">kazlak@alworoud.com</t>
  </si>
  <si>
    <t xml:space="preserve">15 villas (Property Finder) vs 16 (RightCompound).</t>
  </si>
  <si>
    <t xml:space="preserve">https://rightcompound.com/compounds/khobar/alfares-compound ; https://www.propertyfinder.sa/blog/%D9%83%D9%85%D8%A8%D9%88%D9%86%D8%AF%D8%A7%D8%AA-%D8%A7%D9%84%D8%AE%D8%A8%D8%B1-%D9%85%D8%AC%D9%85%D8%B9%D8%A7%D8%AA-%D8%B3%D9%83%D9%86%D9%8A%D8%A9-%D8%B9%D8%A7%D9%84%D9%85%D9%8A%D8%A9-%D8%B9%D9%84/</t>
  </si>
  <si>
    <t xml:space="preserve">KHB-018</t>
  </si>
  <si>
    <t xml:space="preserve">Al Remal Village</t>
  </si>
  <si>
    <t xml:space="preserve">مجمع الرمال السكني</t>
  </si>
  <si>
    <t xml:space="preserve">Al Andalus / Golden Belt (Al Quds St)</t>
  </si>
  <si>
    <t xml:space="preserve">Villas, duplexes, townhouses, 1-2 bed apartments</t>
  </si>
  <si>
    <t xml:space="preserve">920004598</t>
  </si>
  <si>
    <t xml:space="preserve">0508146999</t>
  </si>
  <si>
    <t xml:space="preserve">https://whichschooladvisor.com/saudi/area-guide/eastern-province/al-khobar ; https://www.propertyfinder.sa/blog/%D9%83%D9%85%D8%A8%D9%88%D9%86%D8%AF%D8%A7%D8%AA-%D8%A7%D9%84%D8%AE%D8%A8%D8%B1-%D9%85%D8%AC%D9%85%D8%B9%D8%A7%D8%AA-%D8%B3%D9%83%D9%86%D9%8A%D8%A9-%D8%B9%D8%A7%D9%84%D9%85%D9%8A%D8%A9-%D8%B9%D9%84/</t>
  </si>
  <si>
    <t xml:space="preserve">KHB-019</t>
  </si>
  <si>
    <t xml:space="preserve">Nesma Compound</t>
  </si>
  <si>
    <t xml:space="preserve">كمباوند نسمة</t>
  </si>
  <si>
    <t xml:space="preserve">Al Jawhara (Al Quds St)</t>
  </si>
  <si>
    <t xml:space="preserve">+966138871838</t>
  </si>
  <si>
    <t xml:space="preserve">0535553932</t>
  </si>
  <si>
    <t xml:space="preserve">https://www.linkedin.com/company/nesma-holding</t>
  </si>
  <si>
    <t xml:space="preserve">Nesma Real Estate Company (per Property Finder)</t>
  </si>
  <si>
    <t xml:space="preserve">https://www.propertyfinder.sa/blog/%D9%83%D9%85%D8%A8%D9%88%D9%86%D8%AF%D8%A7%D8%AA-%D8%A7%D9%84%D8%AE%D8%A8%D8%B1-%D9%85%D8%AC%D9%85%D8%B9%D8%A7%D8%AA-%D8%B3%D9%83%D9%86%D9%8A%D8%A9-%D8%B9%D8%A7%D9%84%D9%85%D9%8A%D8%A9-%D8%B9%D9%84/</t>
  </si>
  <si>
    <t xml:space="preserve">Property management, Marketing &amp; leasing, Content &amp; photography, Paid ad campaigns, Integrated services</t>
  </si>
  <si>
    <t xml:space="preserve">KHB-020</t>
  </si>
  <si>
    <t xml:space="preserve">Qurtuba Residential Complex</t>
  </si>
  <si>
    <t xml:space="preserve">مجمع قرطبة السكني</t>
  </si>
  <si>
    <t xml:space="preserve">Qurtubah (Prince Sultan Rd)</t>
  </si>
  <si>
    <t xml:space="preserve">Apartment Compound</t>
  </si>
  <si>
    <t xml:space="preserve">Furnished studios, 1-2 bed apartments</t>
  </si>
  <si>
    <t xml:space="preserve">KHB-021</t>
  </si>
  <si>
    <t xml:space="preserve">Retal Khobar (Rtal Square)</t>
  </si>
  <si>
    <t xml:space="preserve">كمباوند رتال الخبر</t>
  </si>
  <si>
    <t xml:space="preserve">Al Bandariyah</t>
  </si>
  <si>
    <t xml:space="preserve">2-4 bed apartments (for sale)</t>
  </si>
  <si>
    <t xml:space="preserve">+966920021022</t>
  </si>
  <si>
    <t xml:space="preserve">Retal (per Property Finder)</t>
  </si>
  <si>
    <t xml:space="preserve">Sale project, not rental compound.</t>
  </si>
  <si>
    <t xml:space="preserve">KHB-022</t>
  </si>
  <si>
    <t xml:space="preserve">Seashore Residence</t>
  </si>
  <si>
    <t xml:space="preserve">كومباوند سي شور</t>
  </si>
  <si>
    <t xml:space="preserve">Aziziyah district</t>
  </si>
  <si>
    <t xml:space="preserve">Villas 201-210 sqm, apartments 43-48 sqm</t>
  </si>
  <si>
    <t xml:space="preserve">Gym Swimming Pool Kindergarten Reserved Parking Baby Nursery Library Restaurant Billiard Tables Basketball Court Volleyball Court Wireless Internet Tennis Court Satellite Cable Recreational Room Business Centre Table Tennis Bus Transportation Cinema </t>
  </si>
  <si>
    <t xml:space="preserve">https://seashoreresidence.com/</t>
  </si>
  <si>
    <t xml:space="preserve">0567700021</t>
  </si>
  <si>
    <t xml:space="preserve">WhatsApp link on site points to a +30 (Greece) number - treated as template error, not stored.</t>
  </si>
  <si>
    <t xml:space="preserve">https://rightcompound.com/compounds/khobar/sea-shore-compound ; https://www.expat.com/en/forum/middle-east/saudi-arabia/khobar/778968-list-of-some-compounds-in-al-khobar-ksa.html ; https://www.propertyfinder.sa/blog/%D9%83%D9%85%D8%A8%D9%88%D9%86%D8%AF%D8%A7%D8%AA-%D8%A7%D9%84%D8%AE%D8%A8%D8%B1-%D9%85%D8%AC%D9%85%D8%B9%D8%A7%D8%AA-%D8%B3%D9%83%D9%86%D9%8A%D8%A9-%D8%B9%D8%A7%D9%84%D9%85%D9%8A%D8%A9-%D8%B9%D9%84/</t>
  </si>
  <si>
    <t xml:space="preserve">KHB-023</t>
  </si>
  <si>
    <t xml:space="preserve">Saraya Al Olaya Towers</t>
  </si>
  <si>
    <t xml:space="preserve">Olaya district facing Dhahran Mall</t>
  </si>
  <si>
    <t xml:space="preserve">Gym Swimming Pool Kindergarten Reserved Parking Baby Nursery Beauty Salon Satellite Cable Recreational Room Garbage Chute Children Playground Pest Control Security 24/7 Laundry Service Maintenance Outdoor Children Playground Lounge Multipurpose Hall </t>
  </si>
  <si>
    <t xml:space="preserve">https://www.darwaemaar.com/</t>
  </si>
  <si>
    <t xml:space="preserve">920004077</t>
  </si>
  <si>
    <t xml:space="preserve">Dar Wa Emaar Real Estate</t>
  </si>
  <si>
    <t xml:space="preserve">https://rightcompound.com/compounds/khobar/saraya-al-olaya-residential-tower</t>
  </si>
  <si>
    <t xml:space="preserve">https://rightcompound.com/compounds/khobar/saraya-al-olaya-residential-tower ; https://www.darwaemaar.com/</t>
  </si>
  <si>
    <t xml:space="preserve">KHB-024</t>
  </si>
  <si>
    <t xml:space="preserve">Saraya Al Rawabi Complex</t>
  </si>
  <si>
    <t xml:space="preserve">Rawabi district adjacent to Hyper Panda and Extra Stores Khobar</t>
  </si>
  <si>
    <t xml:space="preserve">Swimming Pool Reserved Parking Garbage Chute Pest Control Security 24/7 Maintenance Outdoor Children Playground Shaded Parking Area</t>
  </si>
  <si>
    <t xml:space="preserve">https://rightcompound.com/compounds/khobar/saraya-al-rawabi-complex</t>
  </si>
  <si>
    <t xml:space="preserve">https://rightcompound.com/compounds/khobar/saraya-al-rawabi-complex ; https://www.darwaemaar.com/</t>
  </si>
  <si>
    <t xml:space="preserve">KHB-025</t>
  </si>
  <si>
    <t xml:space="preserve">Refad Compound</t>
  </si>
  <si>
    <t xml:space="preserve">Prince Faisal Bin Fahad Road</t>
  </si>
  <si>
    <t xml:space="preserve">Villas, apartments, duplexes</t>
  </si>
  <si>
    <t xml:space="preserve">Gym Reserved Parking Basketball Court Wireless Internet Satellite Cable Recreational Room Bus Transportation Children Playground Pest Control Security 24/7 Laundry Service Maintenance Outdoor Children Playground Mini Market Multipurpose Hall Green Ar</t>
  </si>
  <si>
    <t xml:space="preserve">https://refadcompound.com/</t>
  </si>
  <si>
    <t xml:space="preserve">+966920031839</t>
  </si>
  <si>
    <t xml:space="preserve">Official site renders no contact data.</t>
  </si>
  <si>
    <t xml:space="preserve">https://rightcompound.com/compounds/khobar/refad-compound ; https://whichschooladvisor.com/saudi/area-guide/eastern-province/al-khobar ; https://compoundin.com/compounds/khobar/refad-compound</t>
  </si>
  <si>
    <t xml:space="preserve">KHB-026</t>
  </si>
  <si>
    <t xml:space="preserve">Palm Springs Compound</t>
  </si>
  <si>
    <t xml:space="preserve">Al Qishla (behind Abdulla Fouad Tower)</t>
  </si>
  <si>
    <t xml:space="preserve">Al Qishla area , behind Abdulla Fouad Tower</t>
  </si>
  <si>
    <t xml:space="preserve">2-bed apartments, 3-bed villas</t>
  </si>
  <si>
    <t xml:space="preserve">Gym Swimming Pool Kindergarten Reserved Parking Baby Nursery Library Beauty Salon Restaurant Snack Bar Billiard Tables Basketball Court Volleyball Court Wireless Internet Tennis Court Satellite Cable Pre-school Centre Recreational Room Bowling Table </t>
  </si>
  <si>
    <t xml:space="preserve">+966505872304</t>
  </si>
  <si>
    <t xml:space="preserve">Abdulla Fouad Holding Company</t>
  </si>
  <si>
    <t xml:space="preserve">https://rightcompound.com/compounds/khobar/palm-springs-compound</t>
  </si>
  <si>
    <t xml:space="preserve">https://rightcompound.com/compounds/khobar/palm-springs-compound ; https://www.expat.com/en/forum/middle-east/saudi-arabia/khobar/778968-list-of-some-compounds-in-al-khobar-ksa.html</t>
  </si>
  <si>
    <t xml:space="preserve">KHB-027</t>
  </si>
  <si>
    <t xml:space="preserve">Dana Beach Resort</t>
  </si>
  <si>
    <t xml:space="preserve">Half Moon Bay (Dana Bay)</t>
  </si>
  <si>
    <t xml:space="preserve">Dana Bay</t>
  </si>
  <si>
    <t xml:space="preserve">Gym Swimming Pool Reserved Parking Beauty Salon Restaurant Snack Bar Wireless Internet Satellite Cable Recreational Room Business Centre Children Playground Pest Control Security 24/7 Laundry Service Maintenance Barbecue Area Outdoor Children Playgro</t>
  </si>
  <si>
    <t xml:space="preserve">+966500501768</t>
  </si>
  <si>
    <t xml:space="preserve">https://rightcompound.com/compounds/khobar/dana-beach-resort</t>
  </si>
  <si>
    <t xml:space="preserve">KHB-028</t>
  </si>
  <si>
    <t xml:space="preserve">Green Park Lifestyle Residence</t>
  </si>
  <si>
    <t xml:space="preserve">Al Jawhara</t>
  </si>
  <si>
    <t xml:space="preserve">Al Jawhara , Al Khobar</t>
  </si>
  <si>
    <t xml:space="preserve">Gym Swimming Pool Reserved Parking Recreational Room Garbage Chute Children Playground Pest Control Security 24/7 Maintenance Outdoor Children Playground Multipurpose Hall Green Area and Shaded Area CCTV Football Court Outdoor Swimming Pool Outdoor G</t>
  </si>
  <si>
    <t xml:space="preserve">+966543787979</t>
  </si>
  <si>
    <t xml:space="preserve">https://rightcompound.com/compounds/khobar/green-park-lifestyle-residence-compound</t>
  </si>
  <si>
    <t xml:space="preserve">KHB-029</t>
  </si>
  <si>
    <t xml:space="preserve">Marissa Elite Complex</t>
  </si>
  <si>
    <t xml:space="preserve">Dhahran (Greater Khobar)</t>
  </si>
  <si>
    <t xml:space="preserve">Al Qusor</t>
  </si>
  <si>
    <t xml:space="preserve">Al-Qusor neighborhood in Dhahran city.</t>
  </si>
  <si>
    <t xml:space="preserve">Gym Reserved Parking Baby Nursery Garbage Chute Children Playground Maintenance Rooftop Garden Barbecue Area Lounge Multipurpose Hall Green Area and Shaded Area CCTV Basement Private Parking Rooftop Barbecue Area</t>
  </si>
  <si>
    <t xml:space="preserve">+966553592411</t>
  </si>
  <si>
    <t xml:space="preserve">https://rightcompound.com/compounds/khobar/marissa-elite-compound-dhahran</t>
  </si>
  <si>
    <t xml:space="preserve">KHB-030</t>
  </si>
  <si>
    <t xml:space="preserve">Le Ruya Residential Resort</t>
  </si>
  <si>
    <t xml:space="preserve">Ishbiliya (Al Bayan St)</t>
  </si>
  <si>
    <t xml:space="preserve">Ishbilia District, Al Bayan Street</t>
  </si>
  <si>
    <t xml:space="preserve">Family Compound</t>
  </si>
  <si>
    <t xml:space="preserve">Gym Beauty Salon Billiard Tables Basketball Court Wireless Internet Tennis Court Bowling Bus Transportation Children Playground Pest Control Security 24/7 Maintenance Barbecue Area Outdoor Children Playground Mini Market Gaming Room Cafeteria Green A</t>
  </si>
  <si>
    <t xml:space="preserve">0559318510</t>
  </si>
  <si>
    <t xml:space="preserve">https://rightcompound.com/compounds/khobar/le-ruya</t>
  </si>
  <si>
    <t xml:space="preserve">KHB-031</t>
  </si>
  <si>
    <t xml:space="preserve">South Park Compound</t>
  </si>
  <si>
    <t xml:space="preserve">Al Douha</t>
  </si>
  <si>
    <t xml:space="preserve">Al Douha Neighborhood</t>
  </si>
  <si>
    <t xml:space="preserve">Gym Children Playground Pest Control Maintenance Housekeeping Services CCTV Fiber Optic High Speed Internet Terrace</t>
  </si>
  <si>
    <t xml:space="preserve">0538090077</t>
  </si>
  <si>
    <t xml:space="preserve">https://rightcompound.com/compounds/khobar/south-park-compound</t>
  </si>
  <si>
    <t xml:space="preserve">KHB-032</t>
  </si>
  <si>
    <t xml:space="preserve">Loay Compound</t>
  </si>
  <si>
    <t xml:space="preserve">Gym Swimming Pool Basketball Court Table Tennis Bus Transportation</t>
  </si>
  <si>
    <t xml:space="preserve">0554216987</t>
  </si>
  <si>
    <t xml:space="preserve">RightCompound description is placeholder text; existence needs field check.</t>
  </si>
  <si>
    <t xml:space="preserve">https://rightcompound.com/compounds/khobar/loay-compound</t>
  </si>
  <si>
    <t xml:space="preserve">KHB-033</t>
  </si>
  <si>
    <t xml:space="preserve">Al Riyadh Compound</t>
  </si>
  <si>
    <t xml:space="preserve">3-bed villas</t>
  </si>
  <si>
    <t xml:space="preserve">Gym Swimming Pool Reserved Parking Beauty Salon Restaurant Snack Bar Billiard Tables Squash Court Basketball Court Volleyball Court Wireless Internet Tennis Court Satellite Cable Recreational Room Business Centre Bowling Table Tennis Bus Transportati</t>
  </si>
  <si>
    <t xml:space="preserve">Arabian Property Services (APS)</t>
  </si>
  <si>
    <t xml:space="preserve">https://rightcompound.com/compounds/khobar/al-riyadh-compound</t>
  </si>
  <si>
    <t xml:space="preserve">https://rightcompound.com/compounds/khobar/al-riyadh-compound ; https://www.expat.com/en/forum/middle-east/saudi-arabia/khobar/778968-list-of-some-compounds-in-al-khobar-ksa.html</t>
  </si>
  <si>
    <t xml:space="preserve">KHB-034</t>
  </si>
  <si>
    <t xml:space="preserve">Al Safa Homes (Al Saeed Village 5)</t>
  </si>
  <si>
    <t xml:space="preserve">Gym Swimming Pool Reserved Parking Baby Nursery Beauty Salon Restaurant Billiard Tables Basketball Court Volleyball Court Wireless Internet Tennis Court Satellite Cable Recreational Room Bus Transportation</t>
  </si>
  <si>
    <t xml:space="preserve">Mazen Al Saeed Group</t>
  </si>
  <si>
    <t xml:space="preserve">https://rightcompound.com/compounds/khobar/al-safa-homes-compound</t>
  </si>
  <si>
    <t xml:space="preserve">KHB-035</t>
  </si>
  <si>
    <t xml:space="preserve">Al Sharq Homes (Al Saeed Village 3)</t>
  </si>
  <si>
    <t xml:space="preserve">Gym Swimming Pool Reserved Parking Baby Nursery Beauty Salon Restaurant Billiard Tables Basketball Court Volleyball Court Wireless Internet Tennis Court Satellite Cable Recreational Room Table Tennis Bus Transportation</t>
  </si>
  <si>
    <t xml:space="preserve">https://rightcompound.com/compounds/khobar/al-sharq-homes-compound</t>
  </si>
  <si>
    <t xml:space="preserve">KHB-036</t>
  </si>
  <si>
    <t xml:space="preserve">Al Yasmeen Homes (Al Saeed Village 4)</t>
  </si>
  <si>
    <t xml:space="preserve">Furnished apartments</t>
  </si>
  <si>
    <t xml:space="preserve">https://rightcompound.com/compounds/khobar/al-yasmeen-homes-compound</t>
  </si>
  <si>
    <t xml:space="preserve">KHB-037</t>
  </si>
  <si>
    <t xml:space="preserve">Saeed Residential Compound 1</t>
  </si>
  <si>
    <t xml:space="preserve">Gym Swimming Pool Reserved Parking Baby Nursery Billiard Tables Basketball Court Volleyball Court Tennis Court Recreational Room</t>
  </si>
  <si>
    <t xml:space="preserve">Possibly part of Mazen Al Saeed Group villages; not confirmed.</t>
  </si>
  <si>
    <t xml:space="preserve">https://rightcompound.com/compounds/khobar/saeed-residential-compound-1</t>
  </si>
  <si>
    <t xml:space="preserve">KHB-038</t>
  </si>
  <si>
    <t xml:space="preserve">Al Shablan Compounds</t>
  </si>
  <si>
    <t xml:space="preserve">Gym Swimming Pool Reserved Parking Bus Transportation</t>
  </si>
  <si>
    <t xml:space="preserve">Al Shablan Group</t>
  </si>
  <si>
    <t xml:space="preserve">https://rightcompound.com/compounds/khobar/al-shablan-compounds</t>
  </si>
  <si>
    <t xml:space="preserve">Group manages five compounds (four in Eastern Province); individual compounds not itemised.</t>
  </si>
  <si>
    <t xml:space="preserve">KHB-039</t>
  </si>
  <si>
    <t xml:space="preserve">Opal Compound</t>
  </si>
  <si>
    <t xml:space="preserve">3-bed villas 110 sqm, studios 65 sqm</t>
  </si>
  <si>
    <t xml:space="preserve">Reserved Parking Recreational Room Children Playground Outdoor Children Playground Multipurpose Hall Green Area and Shaded Area</t>
  </si>
  <si>
    <t xml:space="preserve">AZ Real Estate Management</t>
  </si>
  <si>
    <t xml:space="preserve">https://rightcompound.com/compounds/khobar/opal-compound</t>
  </si>
  <si>
    <t xml:space="preserve">KHB-040</t>
  </si>
  <si>
    <t xml:space="preserve">Cedar Village Compound</t>
  </si>
  <si>
    <t xml:space="preserve">Golden Belt</t>
  </si>
  <si>
    <t xml:space="preserve">Al Khobar , Golden Belt</t>
  </si>
  <si>
    <t xml:space="preserve">Gym Swimming Pool Squash Court Basketball Court Recreational Room Garbage Chute Pest Control Security 24/7 Maintenance Mini Market Gaming Room Shaded Parking Area Water Treatment Plant CCTV</t>
  </si>
  <si>
    <t xml:space="preserve">https://rightcompound.com/compounds/khobar/sedar-village-compound</t>
  </si>
  <si>
    <t xml:space="preserve">KHB-041</t>
  </si>
  <si>
    <t xml:space="preserve">Karawan Village</t>
  </si>
  <si>
    <t xml:space="preserve">1st Street</t>
  </si>
  <si>
    <t xml:space="preserve">Gym Swimming Pool Reserved Parking Baby Nursery Library Billiard Tables Squash Court Basketball Court Volleyball Court Tennis Court Satellite Cable Recreational Room Table Tennis Bus Transportation Children Playground Pest Control Security 24/7 Maint</t>
  </si>
  <si>
    <t xml:space="preserve">Arsal Facility Management</t>
  </si>
  <si>
    <t xml:space="preserve">https://rightcompound.com/compounds/khobar/karawan-compound</t>
  </si>
  <si>
    <t xml:space="preserve">https://rightcompound.com/compounds/khobar/karawan-compound ; https://www.expat.com/en/forum/middle-east/saudi-arabia/khobar/778968-list-of-some-compounds-in-al-khobar-ksa.html</t>
  </si>
  <si>
    <t xml:space="preserve">KHB-042</t>
  </si>
  <si>
    <t xml:space="preserve">Gulf Pearl Compound 2</t>
  </si>
  <si>
    <t xml:space="preserve">Aziziyah, Khobar</t>
  </si>
  <si>
    <t xml:space="preserve">Gym Swimming Pool Reserved Parking Baby Nursery Beauty Salon Restaurant Billiard Tables Squash Court Basketball Court Volleyball Court Wireless Internet Tennis Court Satellite Cable Recreational Room Table Tennis Bus Transportation</t>
  </si>
  <si>
    <t xml:space="preserve">Al Kifah Real Estate</t>
  </si>
  <si>
    <t xml:space="preserve">https://rightcompound.com/compounds/khobar/gulf-pearl-compound-2</t>
  </si>
  <si>
    <t xml:space="preserve">https://rightcompound.com/compounds/khobar/gulf-pearl-compound-2 ; https://www.expat.com/en/forum/middle-east/saudi-arabia/khobar/778968-list-of-some-compounds-in-al-khobar-ksa.html</t>
  </si>
  <si>
    <t xml:space="preserve">KHB-043</t>
  </si>
  <si>
    <t xml:space="preserve">Gulf Pearl Compound 1</t>
  </si>
  <si>
    <t xml:space="preserve">Khobar</t>
  </si>
  <si>
    <t xml:space="preserve">https://www.expat.com/en/forum/middle-east/saudi-arabia/khobar/778968-list-of-some-compounds-in-al-khobar-ksa.html</t>
  </si>
  <si>
    <t xml:space="preserve">KHB-044</t>
  </si>
  <si>
    <t xml:space="preserve">Jouri Compound</t>
  </si>
  <si>
    <t xml:space="preserve">Al Mutlaqiyah</t>
  </si>
  <si>
    <t xml:space="preserve">Gym Swimming Pool Reserved Parking Basketball Court Volleyball Court Wireless Internet Tennis Court Satellite Cable Recreational Room Table Tennis Bus Transportation</t>
  </si>
  <si>
    <t xml:space="preserve">Tharaa Real Estate Investments Co.</t>
  </si>
  <si>
    <t xml:space="preserve">https://rightcompound.com/compounds/khobar/jouri-homes</t>
  </si>
  <si>
    <t xml:space="preserve">KHB-045</t>
  </si>
  <si>
    <t xml:space="preserve">Al Rashid Residence Towers</t>
  </si>
  <si>
    <t xml:space="preserve">West Khobar (Khadem Al Haramain Rd)</t>
  </si>
  <si>
    <t xml:space="preserve">West of Al Khobar city on Khadem Al Haramein Road</t>
  </si>
  <si>
    <t xml:space="preserve">Gym Swimming Pool Kindergarten Reserved Parking Library Billiard Tables Basketball Court Volleyball Court Wireless Internet Tennis Court Satellite Cable Pre-school Centre Commercial Centre Recreational Room Table Tennis Bus Transportation Cinema Garb</t>
  </si>
  <si>
    <t xml:space="preserve">Al Rashid Trading &amp; Contracting Co.</t>
  </si>
  <si>
    <t xml:space="preserve">https://rightcompound.com/compounds/khobar/al-rashid-residence-towers</t>
  </si>
  <si>
    <t xml:space="preserve">https://rightcompound.com/compounds/khobar/al-rashid-residence-towers ; https://compoundin.com/compounds/khobar/al-rashid-residence-towers</t>
  </si>
  <si>
    <t xml:space="preserve">KHB-046</t>
  </si>
  <si>
    <t xml:space="preserve">Al Rashid Residence (Al Rashid Mall)</t>
  </si>
  <si>
    <t xml:space="preserve">Al Olaya</t>
  </si>
  <si>
    <t xml:space="preserve">AlRashid Mall, Al Ulaya, Al Khobar, Saudi Arabia</t>
  </si>
  <si>
    <t xml:space="preserve">Gym Swimming Pool Kindergarten Reserved Parking Restaurant Ballroom Wireless Internet Satellite Cable Commercial Centre Business Centre</t>
  </si>
  <si>
    <t xml:space="preserve">https://rightcompound.com/compounds/khobar/alrashid-residence ; https://www.expat.com/en/forum/middle-east/saudi-arabia/khobar/778968-list-of-some-compounds-in-al-khobar-ksa.html</t>
  </si>
  <si>
    <t xml:space="preserve">KHB-047</t>
  </si>
  <si>
    <t xml:space="preserve">Oasis Gardens Compound</t>
  </si>
  <si>
    <t xml:space="preserve">Al Jawhara (Salahuddin St)</t>
  </si>
  <si>
    <t xml:space="preserve">Al Jawhara district on Salahuddin street</t>
  </si>
  <si>
    <t xml:space="preserve">Gym Swimming Pool Kindergarten Reserved Parking Baby Nursery Library Restaurant Snack Bar Billiard Tables Squash Court Basketball Court Volleyball Court Wireless Internet Tennis Court Satellite Cable Recreational Room Business Centre Bowling Table Te</t>
  </si>
  <si>
    <t xml:space="preserve">https://oasiscompounds.com/oasisgardens/</t>
  </si>
  <si>
    <t xml:space="preserve">0138825288</t>
  </si>
  <si>
    <t xml:space="preserve">leasing@theoasis.sa</t>
  </si>
  <si>
    <t xml:space="preserve">Forum posts (2016) link Oasis Gardens / Al Bustan to Saad Group; current owner not confirmed. Official site did not load from the research environment; contacts taken from search-engine copy of the official contact page.</t>
  </si>
  <si>
    <t xml:space="preserve">https://rightcompound.com/compounds/khobar/oasis-gardens-compound-al-khobar ; https://whichschooladvisor.com/saudi/area-guide/eastern-province/al-khobar ; https://www.expat.com/en/forum/middle-east/saudi-arabia/khobar/778968-list-of-some-compounds-in-al-khobar-ksa.html ; https://oasiscompounds.com/oasisgardens/contact/</t>
  </si>
  <si>
    <t xml:space="preserve">KHB-048</t>
  </si>
  <si>
    <t xml:space="preserve">Oasis Residential Resorts</t>
  </si>
  <si>
    <t xml:space="preserve">Salahuddin St</t>
  </si>
  <si>
    <t xml:space="preserve">3713 Salahuddin St.</t>
  </si>
  <si>
    <t xml:space="preserve">Gym Swimming Pool Reserved Parking Baby Nursery Library Ballroom Billiard Tables Squash Court Golf Course Basketball Court Volleyball Court Wireless Internet Tennis Court Satellite Cable Recreational Room Bowling Table Tennis Bus Transportation Cinem</t>
  </si>
  <si>
    <t xml:space="preserve">https://gardens.oasiscompounds.com/oasisresorts/</t>
  </si>
  <si>
    <t xml:space="preserve">0138015027</t>
  </si>
  <si>
    <t xml:space="preserve">reception@oasisresorts.org</t>
  </si>
  <si>
    <t xml:space="preserve">oasisresorts.net now redirects to an unrelated site. Official contact page did not load; values from search-engine copy.</t>
  </si>
  <si>
    <t xml:space="preserve">https://rightcompound.com/compounds/khobar/oasis-resorts ; https://www.expat.com/en/forum/middle-east/saudi-arabia/khobar/778968-list-of-some-compounds-in-al-khobar-ksa.html ; https://gardens.oasiscompounds.com/oasisresorts/contact/</t>
  </si>
  <si>
    <t xml:space="preserve">KHB-049</t>
  </si>
  <si>
    <t xml:space="preserve">Al Bustan Village</t>
  </si>
  <si>
    <t xml:space="preserve">Forum mentions only (2016-2017); albustanvillage.com cited but unconfirmed.</t>
  </si>
  <si>
    <t xml:space="preserve">https://www.expat.com/en/forum/middle-east/saudi-arabia/khobar/870355-al-bustan-compound-or-oasis-garden-in-al-khobar-eastern-province.html</t>
  </si>
  <si>
    <t xml:space="preserve">KHB-050</t>
  </si>
  <si>
    <t xml:space="preserve">Al Danah &amp; Al Nadah Compounds</t>
  </si>
  <si>
    <t xml:space="preserve">Near EXTRA, King Faisal Road,</t>
  </si>
  <si>
    <t xml:space="preserve">Al Nadah 128 villas; Al Danah 104 duplexes</t>
  </si>
  <si>
    <t xml:space="preserve">Gym Swimming Pool Kindergarten Library Beauty Salon Restaurant Billiard Tables Squash Court Basketball Court Tennis Court Satellite Cable Recreational Room Table Tennis Bus Transportation</t>
  </si>
  <si>
    <t xml:space="preserve">Address given as 'near EXTRA, King Faisal Rd' with Dammam postcode, coordinates inside Khobar.</t>
  </si>
  <si>
    <t xml:space="preserve">https://rightcompound.com/compounds/khobar/dana--nada-compounds ; https://whichschooladvisor.com/saudi/area-guide/eastern-province/al-khobar ; https://compoundin.com/compounds/khobar/al-danah-al-nadah-compounds</t>
  </si>
  <si>
    <t xml:space="preserve">KHB-051</t>
  </si>
  <si>
    <t xml:space="preserve">Desert Rose Compound</t>
  </si>
  <si>
    <t xml:space="preserve">Al Rakah Al Janubiyah</t>
  </si>
  <si>
    <t xml:space="preserve">1-3 bed apartments</t>
  </si>
  <si>
    <t xml:space="preserve">Gym Swimming Pool Reserved Parking Baby Nursery Restaurant Squash Court Basketball Court Tennis Court Recreational Room Bus Transportation Garbage Chute Children Playground Pest Control Security 24/7 Maintenance Outdoor Children Playground Mini Marke</t>
  </si>
  <si>
    <t xml:space="preserve">145 units (WhichSchoolAdvisor) vs 175 (RightCompound).</t>
  </si>
  <si>
    <t xml:space="preserve">https://rightcompound.com/compounds/khobar/desert-rose-compound-al-khobar ; https://whichschooladvisor.com/saudi/area-guide/eastern-province/al-khobar</t>
  </si>
  <si>
    <t xml:space="preserve">KHB-052</t>
  </si>
  <si>
    <t xml:space="preserve">Emad Compound</t>
  </si>
  <si>
    <t xml:space="preserve">Al Khobar , Al Rakah district</t>
  </si>
  <si>
    <t xml:space="preserve">Swimming Pool Reserved Parking Squash Court Satellite Cable Recreational Room Garbage Chute Security 24/7 Maintenance Multipurpose Hall Shaded Parking Area Green Area and Shaded Area Sauna Room Jacuzzi Room CCTV Multipurpose Court</t>
  </si>
  <si>
    <t xml:space="preserve">https://rightcompound.com/compounds/khobar/desert-rose-apartments-compound</t>
  </si>
  <si>
    <t xml:space="preserve">KHB-053</t>
  </si>
  <si>
    <t xml:space="preserve">The Pearl Residential Compound</t>
  </si>
  <si>
    <t xml:space="preserve">Qurtubah (Prince Sultan Bin Fahd Rd)</t>
  </si>
  <si>
    <t xml:space="preserve">Prince Sultan Bin Fahed Road</t>
  </si>
  <si>
    <t xml:space="preserve">Gym Swimming Pool Kindergarten Reserved Parking Baby Nursery Beauty Salon Restaurant Billiard Tables Basketball Court Volleyball Court Wireless Internet Tennis Court Recreational Room Table Tennis Bus Transportation Garbage Chute Children Playground </t>
  </si>
  <si>
    <t xml:space="preserve">https://rightcompound.com/compounds/khobar/the-pearl-residential-compound ; https://whichschooladvisor.com/saudi/area-guide/eastern-province/al-khobar ; https://www.expat.com/en/forum/middle-east/saudi-arabia/khobar/778968-list-of-some-compounds-in-al-khobar-ksa.html</t>
  </si>
  <si>
    <t xml:space="preserve">KHB-054</t>
  </si>
  <si>
    <t xml:space="preserve">Ronda Residence Compound</t>
  </si>
  <si>
    <t xml:space="preserve">Hammad Ibn Hibatullah Street</t>
  </si>
  <si>
    <t xml:space="preserve">Gym Swimming Pool Kindergarten Reserved Parking Baby Nursery Beauty Salon Restaurant Snack Bar Billiard Tables Squash Court Basketball Court Wireless Internet Tennis Court Satellite Cable Pre-school Centre Recreational Room Business Centre Table Tenn</t>
  </si>
  <si>
    <t xml:space="preserve">http://www.rondaco.com/</t>
  </si>
  <si>
    <t xml:space="preserve">+966559008802</t>
  </si>
  <si>
    <t xml:space="preserve">coordinator@rondaco.com</t>
  </si>
  <si>
    <t xml:space="preserve">https://www.linkedin.com/company/ronda-residence</t>
  </si>
  <si>
    <t xml:space="preserve">https://rightcompound.com/compounds/khobar/ronda-residence-compound ; https://whichschooladvisor.com/saudi/area-guide/eastern-province/al-khobar ; https://compoundin.com/compounds/khobar/ronda-residence ; http://www.rondaco.com/</t>
  </si>
  <si>
    <t xml:space="preserve">KHB-055</t>
  </si>
  <si>
    <t xml:space="preserve">Rima Residences</t>
  </si>
  <si>
    <t xml:space="preserve">Al Bandariyah (King Fahd Rd)</t>
  </si>
  <si>
    <t xml:space="preserve">Bustan District, King Fahid Road</t>
  </si>
  <si>
    <t xml:space="preserve">Serviced apartments (10 buildings)</t>
  </si>
  <si>
    <t xml:space="preserve">Gym Swimming Pool Kindergarten Reserved Parking Baby Nursery Restaurant Snack Bar Billiard Tables Wireless Internet Satellite Cable Pre-school Centre Table Tennis Bus Transportation Children Playground Pest Control Security 24/7 Laundry Service Maint</t>
  </si>
  <si>
    <t xml:space="preserve">https://www.rimaresidence.com/</t>
  </si>
  <si>
    <t xml:space="preserve">+966138144907</t>
  </si>
  <si>
    <t xml:space="preserve">info@rimaresidence.com</t>
  </si>
  <si>
    <t xml:space="preserve">https://www.facebook.com/RimaResidence/</t>
  </si>
  <si>
    <t xml:space="preserve">https://x.com/rimaresidence</t>
  </si>
  <si>
    <t xml:space="preserve">Official site did not load from the research environment. Units 216 vs 217 across sources.</t>
  </si>
  <si>
    <t xml:space="preserve">https://rightcompound.com/compounds/khobar/rima-residence ; https://www.expat.com/en/forum/middle-east/saudi-arabia/khobar/778968-list-of-some-compounds-in-al-khobar-ksa.html ; https://www.saudiayp.com/company/247717/Rima_Residence ; https://www.rimaresidence.com/ ; https://www.facebook.com/RimaResidence/</t>
  </si>
  <si>
    <t xml:space="preserve">KHB-056</t>
  </si>
  <si>
    <t xml:space="preserve">Al Rawabi Pearl Complex</t>
  </si>
  <si>
    <t xml:space="preserve">https://goo.gl/maps/EscCoHT2FK22</t>
  </si>
  <si>
    <t xml:space="preserve">Gym Swimming Pool Reserved Parking Library Billiard Tables Basketball Court Volleyball Court Wireless Internet Satellite Cable Table Tennis Bus Transportation Garbage Chute Children Playground Pest Control Security 24/7 Laundry Service Maintenance Ro</t>
  </si>
  <si>
    <t xml:space="preserve">https://rightcompound.com/compounds/khobar/al-rawabi-pearl-complex ; https://www.expat.com/en/forum/middle-east/saudi-arabia/khobar/778968-list-of-some-compounds-in-al-khobar-ksa.html ; https://compoundin.com/compounds/khobar/rawabi-pearl-compound</t>
  </si>
  <si>
    <t xml:space="preserve">KHB-057</t>
  </si>
  <si>
    <t xml:space="preserve">Gulf Homes Compound</t>
  </si>
  <si>
    <t xml:space="preserve">Prince Miteb St</t>
  </si>
  <si>
    <t xml:space="preserve">Prince Miteb bin Abdulaziz Street</t>
  </si>
  <si>
    <t xml:space="preserve">Gym Swimming Pool Reserved Parking Beauty Salon Restaurant Snack Bar Satellite Cable Children Playground Security 24/7 Maintenance Outdoor Children Playground Mini Market Cafeteria Barber Shop</t>
  </si>
  <si>
    <t xml:space="preserve">https://rightcompound.com/compounds/khobar/gulf-homes-compound ; https://www.expat.com/en/forum/middle-east/saudi-arabia/khobar/778968-list-of-some-compounds-in-al-khobar-ksa.html</t>
  </si>
  <si>
    <t xml:space="preserve">KHB-058</t>
  </si>
  <si>
    <t xml:space="preserve">The Vertical Village</t>
  </si>
  <si>
    <t xml:space="preserve">Al Khobar , Alrawabi distric</t>
  </si>
  <si>
    <t xml:space="preserve">Furnished serviced apartments</t>
  </si>
  <si>
    <t xml:space="preserve">Gym Swimming Pool Kindergarten Reserved Parking Baby Nursery Library Beauty Salon Restaurant Ballroom Snack Bar Billiard Tables Basketball Court Volleyball Court Wireless Internet Tennis Court Satellite Cable Recreational Room Business Centre Bowling</t>
  </si>
  <si>
    <t xml:space="preserve">https://rightcompound.com/compounds/khobar/the-vertical-village-compound ; https://www.expat.com/en/forum/middle-east/saudi-arabia/khobar/778968-list-of-some-compounds-in-al-khobar-ksa.html</t>
  </si>
  <si>
    <t xml:space="preserve">KHB-059</t>
  </si>
  <si>
    <t xml:space="preserve">Al Ferdouse Village</t>
  </si>
  <si>
    <t xml:space="preserve">Al Aqrabiyah (Prince Hamoud St)</t>
  </si>
  <si>
    <t xml:space="preserve">Prince Hamoud Street no. 22 – AQRABIA Area</t>
  </si>
  <si>
    <t xml:space="preserve">43 x 3-bed villas, 22 x 1-bed villas</t>
  </si>
  <si>
    <t xml:space="preserve">Gym Swimming Pool Reserved Parking Library Billiard Tables Squash Court Volleyball Court Tennis Court Satellite Cable Recreational Room Table Tennis Bus Transportation Children Playground Pest Control Security 24/7 Maintenance Barbecue Area Outdoor C</t>
  </si>
  <si>
    <t xml:space="preserve">https://rightcompound.com/compounds/khobar/al-ferdouse ; https://www.expat.com/en/forum/middle-east/saudi-arabia/khobar/778968-list-of-some-compounds-in-al-khobar-ksa.html</t>
  </si>
  <si>
    <t xml:space="preserve">KHB-060</t>
  </si>
  <si>
    <t xml:space="preserve">Durrat Al Khaleej Compound</t>
  </si>
  <si>
    <t xml:space="preserve">Aziziah</t>
  </si>
  <si>
    <t xml:space="preserve">Gym Swimming Pool Reserved Parking Billiard Tables Basketball Court Volleyball Court Tennis Court Table Tennis Garbage Chute Children Playground Pest Control Security 24/7 Maintenance Outdoor Children Playground Mini Market Multipurpose Hall Shaded P</t>
  </si>
  <si>
    <t xml:space="preserve">https://rightcompound.com/compounds/khobar/durrat-al-khaleej-compound</t>
  </si>
  <si>
    <t xml:space="preserve">KHB-061</t>
  </si>
  <si>
    <t xml:space="preserve">Nouf Compound</t>
  </si>
  <si>
    <t xml:space="preserve">27 x 3-bed villas, 6 x 2-bed apartments</t>
  </si>
  <si>
    <t xml:space="preserve">Gym Swimming Pool Reserved Parking Billiard Tables Wireless Internet Satellite Cable Recreational Room Table Tennis Bus Transportation</t>
  </si>
  <si>
    <t xml:space="preserve">https://rightcompound.com/compounds/khobar/nouf-compound ; https://whichschooladvisor.com/saudi/area-guide/eastern-province/al-khobar</t>
  </si>
  <si>
    <t xml:space="preserve">KHB-062</t>
  </si>
  <si>
    <t xml:space="preserve">Meadow Park (Medo Park) Compound</t>
  </si>
  <si>
    <t xml:space="preserve">Al Jawhara (Golden Belt)</t>
  </si>
  <si>
    <t xml:space="preserve">Al Jawhara district (Golden Belt) area by Al Quds street /Al mansuriyah street</t>
  </si>
  <si>
    <t xml:space="preserve">3-bed villas, 1-bed apartments</t>
  </si>
  <si>
    <t xml:space="preserve">Gym Swimming Pool Basketball Court Garbage Chute Pest Control Security 24/7 Maintenance Multipurpose Hall</t>
  </si>
  <si>
    <t xml:space="preserve">https://rightcompound.com/compounds/khobar/medo-park-compound-al-khobar ; https://whichschooladvisor.com/saudi/area-guide/eastern-province/al-khobar</t>
  </si>
  <si>
    <t xml:space="preserve">KHB-063</t>
  </si>
  <si>
    <t xml:space="preserve">Nasamat Residence</t>
  </si>
  <si>
    <t xml:space="preserve">Al Tahliyah (Aziziyah)</t>
  </si>
  <si>
    <t xml:space="preserve">Al Tahliah , Aziziyah district</t>
  </si>
  <si>
    <t xml:space="preserve">Staff Accommodation</t>
  </si>
  <si>
    <t xml:space="preserve">Individual and group housing</t>
  </si>
  <si>
    <t xml:space="preserve">Gym Reserved Parking Garbage Chute Pest Control Security 24/7 Maintenance Multipurpose Hall Green Area and Shaded Area CCTV</t>
  </si>
  <si>
    <t xml:space="preserve">https://rightcompound.com/compounds/khobar/nasamat-residential-complex</t>
  </si>
  <si>
    <t xml:space="preserve">KHB-064</t>
  </si>
  <si>
    <t xml:space="preserve">Al Nawras Residential Compound</t>
  </si>
  <si>
    <t xml:space="preserve">Aziziyah (North of the New Municipality Bldg.)</t>
  </si>
  <si>
    <t xml:space="preserve">Gym Swimming Pool Reserved Parking Snack Bar Wireless Internet Satellite Cable Recreational Room Business Centre Bus Transportation</t>
  </si>
  <si>
    <t xml:space="preserve">https://rightcompound.com/compounds/khobar/al-nawras-residential-compound</t>
  </si>
  <si>
    <t xml:space="preserve">KHB-065</t>
  </si>
  <si>
    <t xml:space="preserve">Al Bilad Compound</t>
  </si>
  <si>
    <t xml:space="preserve">Golden Belt (near Taba Center)</t>
  </si>
  <si>
    <t xml:space="preserve">Swimming Pool Reserved Parking Basketball Court Wireless Internet Recreational Room Bus Transportation</t>
  </si>
  <si>
    <t xml:space="preserve">https://rightcompound.com/compounds/khobar/al-bilad-compound</t>
  </si>
  <si>
    <t xml:space="preserve">KHB-066</t>
  </si>
  <si>
    <t xml:space="preserve">Al Falak Compound</t>
  </si>
  <si>
    <t xml:space="preserve">Rakah</t>
  </si>
  <si>
    <t xml:space="preserve">Gym Swimming Pool Reserved Parking Basketball Court Tennis Court Recreational Room Table Tennis Garbage Chute Children Playground Pest Control Security 24/7 Maintenance Outdoor Children Playground Multipurpose Hall Shaded Parking Area Sauna Room CCTV</t>
  </si>
  <si>
    <t xml:space="preserve">https://rightcompound.com/compounds/khobar/al-falak-compound</t>
  </si>
  <si>
    <t xml:space="preserve">KHB-067</t>
  </si>
  <si>
    <t xml:space="preserve">Al Khobar Views Complex</t>
  </si>
  <si>
    <t xml:space="preserve">Corniche</t>
  </si>
  <si>
    <t xml:space="preserve">Al Khobar - Al Cornish</t>
  </si>
  <si>
    <t xml:space="preserve">Gym Security 24/7 Maintenance Lounge Indoor Swimming Pool Sauna Room Jacuzzi Room CCTV Basement Private Parking</t>
  </si>
  <si>
    <t xml:space="preserve">https://rightcompound.com/compounds/khobar/al-khobar-views-complex</t>
  </si>
  <si>
    <t xml:space="preserve">KHB-068</t>
  </si>
  <si>
    <t xml:space="preserve">AlReemah Village</t>
  </si>
  <si>
    <t xml:space="preserve">Al Andalus (Prince Mashour St)</t>
  </si>
  <si>
    <t xml:space="preserve">Prince Mashore st, Al Andalus, Al Khobar 34437</t>
  </si>
  <si>
    <t xml:space="preserve">Gym Swimming Pool Kindergarten Baby Nursery Squash Court Basketball Court Wireless Internet Tennis Court Garbage Chute Children Playground Pest Control Security 24/7 Maintenance Barbecue Area Outdoor Children Playground Lounge Multipurpose Hall Shade</t>
  </si>
  <si>
    <t xml:space="preserve">https://rightcompound.com/compounds/khobar/alreemah-village</t>
  </si>
  <si>
    <t xml:space="preserve">KHB-069</t>
  </si>
  <si>
    <t xml:space="preserve">Azhar Residences Compound</t>
  </si>
  <si>
    <t xml:space="preserve">Al Yarmouk</t>
  </si>
  <si>
    <t xml:space="preserve">Gym Tennis Court Recreational Room Pest Control Security 24/7 Maintenance Outdoor Children Playground Indoor Swimming Pool Shaded Parking Area Green Area and Shaded Area Pet Friendly Compound Reception Lounge Outdoor Garden Area BBQ area Secure Acces</t>
  </si>
  <si>
    <t xml:space="preserve">https://rightcompound.com/compounds/khobar/azhar-residences-compound</t>
  </si>
  <si>
    <t xml:space="preserve">KHB-070</t>
  </si>
  <si>
    <t xml:space="preserve">Daar Residence Compound</t>
  </si>
  <si>
    <t xml:space="preserve">Gym Swimming Pool Reserved Parking Restaurant Billiard Tables Squash Court Basketball Court Volleyball Court Tennis Court Recreational Room Bowling Table Tennis Bus Transportation Cinema Garbage Chute Children Playground Pest Control Security 24/7 Ma</t>
  </si>
  <si>
    <t xml:space="preserve">https://rightcompound.com/compounds/khobar/daar-residence-compound-al-khobar</t>
  </si>
  <si>
    <t xml:space="preserve">KHB-071</t>
  </si>
  <si>
    <t xml:space="preserve">Dewan Al Jazirah Compound</t>
  </si>
  <si>
    <t xml:space="preserve">Coastal Road</t>
  </si>
  <si>
    <t xml:space="preserve">Al Khobar, Coastal Road</t>
  </si>
  <si>
    <t xml:space="preserve">Under construction (per listing; date unknown)</t>
  </si>
  <si>
    <t xml:space="preserve">Gym Swimming Pool Kindergarten Reserved Parking Snack Bar Billiard Tables Squash Court Basketball Court Volleyball Court Wireless Internet Tennis Court Satellite Cable Commercial Centre Recreational Room Table Tennis Bus Transportation</t>
  </si>
  <si>
    <t xml:space="preserve">https://rightcompound.com/compounds/khobar/dewan-al-jazirah-compound</t>
  </si>
  <si>
    <t xml:space="preserve">KHB-072</t>
  </si>
  <si>
    <t xml:space="preserve">Jadawel Compound</t>
  </si>
  <si>
    <t xml:space="preserve">Near Dhahran Expo (Dammam Highway)</t>
  </si>
  <si>
    <t xml:space="preserve">Near to Dhahran International Exibition Centre</t>
  </si>
  <si>
    <t xml:space="preserve">Gym Swimming Pool Kindergarten Reserved Parking Baby Nursery Beauty Salon Restaurant Ballroom Snack Bar Billiard Tables Basketball Court Tennis Court Satellite Cable Pre-school Centre Commercial Centre Recreational Room Business Centre Bowling Table </t>
  </si>
  <si>
    <t xml:space="preserve">Also listed as 'Al Rakah residential compound - Al Jadawel' in a business directory.</t>
  </si>
  <si>
    <t xml:space="preserve">https://rightcompound.com/compounds/khobar/jadawel-compound</t>
  </si>
  <si>
    <t xml:space="preserve">KHB-073</t>
  </si>
  <si>
    <t xml:space="preserve">Marbella Compound</t>
  </si>
  <si>
    <t xml:space="preserve">Doha area</t>
  </si>
  <si>
    <t xml:space="preserve">Doha area , Al Khobar / Dhahran</t>
  </si>
  <si>
    <t xml:space="preserve">Gym Swimming Pool Kindergarten Reserved Parking Baby Nursery Library Beauty Salon Restaurant Snack Bar Billiard Tables Wireless Internet Satellite Cable Recreational Room Business Centre Table Tennis Cigar Lounge Garbage Chute Children Playground Pes</t>
  </si>
  <si>
    <t xml:space="preserve">https://rightcompound.com/compounds/khobar/marbella-compound</t>
  </si>
  <si>
    <t xml:space="preserve">KHB-074</t>
  </si>
  <si>
    <t xml:space="preserve">Mira Mar Compound</t>
  </si>
  <si>
    <t xml:space="preserve">Al Rakah (Prince Sultan St)</t>
  </si>
  <si>
    <t xml:space="preserve">Al Khobar, Rakah district, Prince Sultan St.</t>
  </si>
  <si>
    <t xml:space="preserve">Swimming Pool Reserved Parking Wireless Internet Satellite Cable</t>
  </si>
  <si>
    <t xml:space="preserve">https://rightcompound.com/compounds/khobar/mira-mar-residential-compound</t>
  </si>
  <si>
    <t xml:space="preserve">KHB-075</t>
  </si>
  <si>
    <t xml:space="preserve">Sanus Compound</t>
  </si>
  <si>
    <t xml:space="preserve">Gym Swimming Pool Recreational Room Barbecue Area CCTV Football Court</t>
  </si>
  <si>
    <t xml:space="preserve">https://rightcompound.com/compounds/khobar/sanus-compound</t>
  </si>
  <si>
    <t xml:space="preserve">KHB-076</t>
  </si>
  <si>
    <t xml:space="preserve">Shahla Residential Compound</t>
  </si>
  <si>
    <t xml:space="preserve">King Faisal Rd</t>
  </si>
  <si>
    <t xml:space="preserve">King Faisal Road</t>
  </si>
  <si>
    <t xml:space="preserve">Gym Swimming Pool Reserved Parking Restaurant Squash Court Basketball Court Tennis Court Recreational Room Bowling Children Playground Pest Control Security 24/7 Maintenance Outdoor Children Playground Mini Market Gaming Room Cafeteria Prayer Room Sa</t>
  </si>
  <si>
    <t xml:space="preserve">https://rightcompound.com/compounds/khobar/shahla-residential-compound</t>
  </si>
  <si>
    <t xml:space="preserve">KHB-077</t>
  </si>
  <si>
    <t xml:space="preserve">Verona Villas</t>
  </si>
  <si>
    <t xml:space="preserve">Al Rakah (Moh. Al Fateh St)</t>
  </si>
  <si>
    <t xml:space="preserve">Rakah - Al Khobar facing Panda , Moh. Alfateh St.</t>
  </si>
  <si>
    <t xml:space="preserve">Gym Swimming Pool Reserved Parking Billiard Tables Recreational Room Table Tennis</t>
  </si>
  <si>
    <t xml:space="preserve">https://rightcompound.com/compounds/khobar/verona-villas</t>
  </si>
  <si>
    <t xml:space="preserve">KHB-078</t>
  </si>
  <si>
    <t xml:space="preserve">Al Bayt Residence</t>
  </si>
  <si>
    <t xml:space="preserve">Behind Abdulla Fouad Tower</t>
  </si>
  <si>
    <t xml:space="preserve">Al Khobar , behind Abdullah Foaud Tower , beside Gama Hospital</t>
  </si>
  <si>
    <t xml:space="preserve">Gym Reserved Parking Restaurant Snack Bar Billiard Tables Wireless Internet Satellite Cable Recreational Room Table Tennis Cigar Lounge Garbage Chute Pest Control Security 24/7 Laundry Service Maintenance Rooftop Garden Cafeteria Lounge Multipurpose </t>
  </si>
  <si>
    <t xml:space="preserve">Designed for bachelors.</t>
  </si>
  <si>
    <t xml:space="preserve">https://rightcompound.com/compounds/khobar/residence-complex ; https://www.expat.com/en/forum/middle-east/saudi-arabia/khobar/778968-list-of-some-compounds-in-al-khobar-ksa.html</t>
  </si>
  <si>
    <t xml:space="preserve">KHB-079</t>
  </si>
  <si>
    <t xml:space="preserve">Ajdan Rise Residential Tower</t>
  </si>
  <si>
    <t xml:space="preserve">Khobar Waterfront (Prince Turki St)</t>
  </si>
  <si>
    <t xml:space="preserve">Prince Turki St</t>
  </si>
  <si>
    <t xml:space="preserve">Residential tower (separate category)</t>
  </si>
  <si>
    <t xml:space="preserve">Gym Swimming Pool Commercial Centre Business Centre Cinema Children Playground Pest Control Security 24/7 Maintenance Mini Market Gaming Room Lounge First Aid Room Intercom System CCTV Basement Private Parking Fiber Optic High Speed Internet Cab Serv</t>
  </si>
  <si>
    <t xml:space="preserve">Residential tower, not a gated compound. RightCompound lists both 'Ajdan Rise Tower' and 'Tanmia Ajdan High Rise' - merged.</t>
  </si>
  <si>
    <t xml:space="preserve">https://rightcompound.com/compounds/khobar/ajdan-rise-tower ; https://rightcompound.com/compounds/khobar/tanmia</t>
  </si>
  <si>
    <t xml:space="preserve">KHB-080</t>
  </si>
  <si>
    <t xml:space="preserve">Roseville Compound</t>
  </si>
  <si>
    <t xml:space="preserve">Al Andalus</t>
  </si>
  <si>
    <t xml:space="preserve">44 x 4-bed villas, 16 x 2-bed apartments</t>
  </si>
  <si>
    <t xml:space="preserve">https://whichschooladvisor.com/saudi/area-guide/eastern-province/al-khobar ; https://www.expat.com/en/forum/middle-east/saudi-arabia/khobar/778968-list-of-some-compounds-in-al-khobar-ksa.html</t>
  </si>
  <si>
    <t xml:space="preserve">KHB-081</t>
  </si>
  <si>
    <t xml:space="preserve">Al Rushaid Village</t>
  </si>
  <si>
    <t xml:space="preserve">Named in forum lists (Al Rushaid Village 1, 2, 3); no official site found.</t>
  </si>
  <si>
    <t xml:space="preserve">KHB-082</t>
  </si>
  <si>
    <t xml:space="preserve">Al Hogait Compound</t>
  </si>
  <si>
    <t xml:space="preserve">Forum list only (~2018).</t>
  </si>
  <si>
    <t xml:space="preserve">KHB-083</t>
  </si>
  <si>
    <t xml:space="preserve">Sara Village (BAE)</t>
  </si>
  <si>
    <t xml:space="preserve">Corporate Housing</t>
  </si>
  <si>
    <t xml:space="preserve">Forum thread title links compound to BAE Systems housing.</t>
  </si>
  <si>
    <t xml:space="preserve">https://www.expat.com/en/forum/middle-east/saudi-arabia/khobar/1043703-sara-village-compound-bae-al-khobar.html</t>
  </si>
  <si>
    <t xml:space="preserve">KHB-084</t>
  </si>
  <si>
    <t xml:space="preserve">Al Subeaei Towers</t>
  </si>
  <si>
    <t xml:space="preserve">https://compoundin.com/compounds/khobar/al-subeaei-towers</t>
  </si>
  <si>
    <t xml:space="preserve">KHB-085</t>
  </si>
  <si>
    <t xml:space="preserve">HY Compound</t>
  </si>
  <si>
    <t xml:space="preserve">Short-stay / serviced (separate category)</t>
  </si>
  <si>
    <t xml:space="preserve">2024</t>
  </si>
  <si>
    <t xml:space="preserve">Listed on Trip.com as accommodation opened 2024.</t>
  </si>
  <si>
    <t xml:space="preserve">https://ae.trip.com/hotels/al-khobar-hotel-detail-96255647/hy-compound-hy-compound</t>
  </si>
  <si>
    <t xml:space="preserve">Pending - Batch 2/3/4</t>
  </si>
  <si>
    <t xml:space="preserve">Rank</t>
  </si>
  <si>
    <t xml:space="preserve">Compound</t>
  </si>
  <si>
    <t xml:space="preserve">Type</t>
  </si>
  <si>
    <t xml:space="preserve">Best Contact</t>
  </si>
  <si>
    <t xml:space="preserve">Pro Core Property Mgmt fit</t>
  </si>
  <si>
    <t xml:space="preserve">Pro Core Media fit</t>
  </si>
  <si>
    <t xml:space="preserve">High</t>
  </si>
  <si>
    <t xml:space="preserve">Medium</t>
  </si>
  <si>
    <t xml:space="preserve">Low</t>
  </si>
  <si>
    <t xml:space="preserve">Contact Type</t>
  </si>
  <si>
    <t xml:space="preserve">Value</t>
  </si>
  <si>
    <t xml:space="preserve">Belongs To</t>
  </si>
  <si>
    <t xml:space="preserve">Verification</t>
  </si>
  <si>
    <t xml:space="preserve">Source</t>
  </si>
  <si>
    <t xml:space="preserve">Published Date</t>
  </si>
  <si>
    <t xml:space="preserve">Checked On</t>
  </si>
  <si>
    <t xml:space="preserve">Confidence</t>
  </si>
  <si>
    <t xml:space="preserve">Phone</t>
  </si>
  <si>
    <t xml:space="preserve">Not stated</t>
  </si>
  <si>
    <t xml:space="preserve">Email (Leasing)</t>
  </si>
  <si>
    <t xml:space="preserve">leasing@canaryvillage.com</t>
  </si>
  <si>
    <t xml:space="preserve">Email (Rental office)</t>
  </si>
  <si>
    <t xml:space="preserve">rental.office@canaryvillage.com</t>
  </si>
  <si>
    <t xml:space="preserve">https://www.eurovillage.sa/contact/</t>
  </si>
  <si>
    <t xml:space="preserve">Email</t>
  </si>
  <si>
    <t xml:space="preserve">Unified number</t>
  </si>
  <si>
    <t xml:space="preserve">920012898</t>
  </si>
  <si>
    <t xml:space="preserve">Phone (operator)</t>
  </si>
  <si>
    <t xml:space="preserve">Operator / group</t>
  </si>
  <si>
    <t xml:space="preserve">Al Othman Holding, not compound desk</t>
  </si>
  <si>
    <t xml:space="preserve">+966138145548</t>
  </si>
  <si>
    <t xml:space="preserve">Al Othman Holding</t>
  </si>
  <si>
    <t xml:space="preserve">Email (operator)</t>
  </si>
  <si>
    <t xml:space="preserve">Phone / WhatsApp (operator)</t>
  </si>
  <si>
    <t xml:space="preserve">Also listed as WhatsApp on RightCompound</t>
  </si>
  <si>
    <t xml:space="preserve">info@zamilre.com</t>
  </si>
  <si>
    <t xml:space="preserve">Email (Marketing, operator)</t>
  </si>
  <si>
    <t xml:space="preserve">marketing@zamilre.com</t>
  </si>
  <si>
    <t xml:space="preserve">Phone (Sales)</t>
  </si>
  <si>
    <t xml:space="preserve">Also in RightCompound description</t>
  </si>
  <si>
    <t xml:space="preserve">wa.me link on official site</t>
  </si>
  <si>
    <t xml:space="preserve">info@retalresidence.com</t>
  </si>
  <si>
    <t xml:space="preserve">Email (Sales)</t>
  </si>
  <si>
    <t xml:space="preserve">sales@retalresidence.com</t>
  </si>
  <si>
    <t xml:space="preserve">Also in Property Finder article</t>
  </si>
  <si>
    <t xml:space="preserve">Mobile (listing)</t>
  </si>
  <si>
    <t xml:space="preserve">Aggregator listing</t>
  </si>
  <si>
    <t xml:space="preserve">Compound-specific number on aggregator</t>
  </si>
  <si>
    <t xml:space="preserve">Phone (group)</t>
  </si>
  <si>
    <t xml:space="preserve">https://alansari.com.sa/contact-us/</t>
  </si>
  <si>
    <t xml:space="preserve">Al Ansari Holding group number; link to compound not confirmed</t>
  </si>
  <si>
    <t xml:space="preserve">Email (group)</t>
  </si>
  <si>
    <t xml:space="preserve">Group email</t>
  </si>
  <si>
    <t xml:space="preserve">Same number as Compound One</t>
  </si>
  <si>
    <t xml:space="preserve">Same number on Property Finder and RightCompound</t>
  </si>
  <si>
    <t xml:space="preserve">Phone (owner)</t>
  </si>
  <si>
    <t xml:space="preserve">Email (owner)</t>
  </si>
  <si>
    <t xml:space="preserve">Same number on RightCompound</t>
  </si>
  <si>
    <t xml:space="preserve">Mailbox on alworoud.com domain</t>
  </si>
  <si>
    <t xml:space="preserve">Unified number (developer)</t>
  </si>
  <si>
    <t xml:space="preserve">Unified number / WhatsApp (developer)</t>
  </si>
  <si>
    <t xml:space="preserve">Unified number (listing)</t>
  </si>
  <si>
    <t xml:space="preserve">https://rightcompound.com/compounds/khobar/refad-compound</t>
  </si>
  <si>
    <t xml:space="preserve">https://oasiscompounds.com/oasisgardens/contact/</t>
  </si>
  <si>
    <t xml:space="preserve">Also on arabplaces directory; official page not opened directly</t>
  </si>
  <si>
    <t xml:space="preserve">Official page not opened directly</t>
  </si>
  <si>
    <t xml:space="preserve">https://gardens.oasiscompounds.com/oasisresorts/contact/</t>
  </si>
  <si>
    <t xml:space="preserve">0138015028</t>
  </si>
  <si>
    <t xml:space="preserve">Email (Reception)</t>
  </si>
  <si>
    <t xml:space="preserve">Same number on Google Play tenant app listing</t>
  </si>
  <si>
    <t xml:space="preserve">Email (Coordinator)</t>
  </si>
  <si>
    <t xml:space="preserve">From search-engine copy of official site</t>
  </si>
  <si>
    <t xml:space="preserve">+966138144908</t>
  </si>
  <si>
    <t xml:space="preserve">Also on saudiayp directory</t>
  </si>
  <si>
    <t xml:space="preserve">Compound Name</t>
  </si>
  <si>
    <t xml:space="preserve">Contact Person / Department</t>
  </si>
  <si>
    <t xml:space="preserve">Contact Channel</t>
  </si>
  <si>
    <t xml:space="preserve">First Contact Date</t>
  </si>
  <si>
    <t xml:space="preserve">Last Follow-Up</t>
  </si>
  <si>
    <t xml:space="preserve">Lead Status</t>
  </si>
  <si>
    <t xml:space="preserve">Interested Services</t>
  </si>
  <si>
    <t xml:space="preserve">Meeting Date</t>
  </si>
  <si>
    <t xml:space="preserve">Proposal Sent</t>
  </si>
  <si>
    <t xml:space="preserve">Next Action</t>
  </si>
  <si>
    <t xml:space="preserve">Not contacted</t>
  </si>
  <si>
    <t xml:space="preserve">Source URL</t>
  </si>
  <si>
    <t xml:space="preserve">Used For (records)</t>
  </si>
  <si>
    <t xml:space="preserve">Accessed</t>
  </si>
  <si>
    <t xml:space="preserve">Expat forum</t>
  </si>
  <si>
    <t xml:space="preserve">Guide / article</t>
  </si>
  <si>
    <t xml:space="preserve">Official / operator site</t>
  </si>
  <si>
    <t xml:space="preserve">Compound directory</t>
  </si>
  <si>
    <t xml:space="preserve">https://compoundin.com/compounds/khobar/canary-vista</t>
  </si>
  <si>
    <t xml:space="preserve">https://soulofsaudi.com/best-compounds-in-saudi-arabia-for-expats/</t>
  </si>
  <si>
    <t xml:space="preserve">https://rightcompound.com/compounds/khobar/riviera-waterfront-village</t>
  </si>
  <si>
    <t xml:space="preserve">https://rightcompound.com/compounds/khobar/zamil-village-residential-compound</t>
  </si>
  <si>
    <t xml:space="preserve">https://rightcompound.com/compounds/khobar/al-wadi-village</t>
  </si>
  <si>
    <t xml:space="preserve">https://rightcompound.com/compounds/khobar/arabian-homes-al-khobar</t>
  </si>
  <si>
    <t xml:space="preserve">https://rightcompound.com/compounds/khobar/retal-residence</t>
  </si>
  <si>
    <t xml:space="preserve">https://compoundin.com/rent/listing/1/0/0-0</t>
  </si>
  <si>
    <t xml:space="preserve">https://rightcompound.com/compounds/khobar/alef-compound</t>
  </si>
  <si>
    <t xml:space="preserve">https://rightcompound.com/compounds/khobar/black-pearl-residential-compound</t>
  </si>
  <si>
    <t xml:space="preserve">https://rightcompound.com/compounds/khobar/jzala-residential-compound-i</t>
  </si>
  <si>
    <t xml:space="preserve">https://rightcompound.com/compounds/khobar/alfares-compound</t>
  </si>
  <si>
    <t xml:space="preserve">https://rightcompound.com/compounds/khobar/sea-shore-compound</t>
  </si>
  <si>
    <t xml:space="preserve">https://compoundin.com/compounds/khobar/refad-compound</t>
  </si>
  <si>
    <t xml:space="preserve">https://compoundin.com/compounds/khobar/al-rashid-residence-towers</t>
  </si>
  <si>
    <t xml:space="preserve">https://rightcompound.com/compounds/khobar/alrashid-residence</t>
  </si>
  <si>
    <t xml:space="preserve">https://rightcompound.com/compounds/khobar/oasis-gardens-compound-al-khobar</t>
  </si>
  <si>
    <t xml:space="preserve">https://rightcompound.com/compounds/khobar/oasis-resorts</t>
  </si>
  <si>
    <t xml:space="preserve">https://rightcompound.com/compounds/khobar/dana--nada-compounds</t>
  </si>
  <si>
    <t xml:space="preserve">https://compoundin.com/compounds/khobar/al-danah-al-nadah-compounds</t>
  </si>
  <si>
    <t xml:space="preserve">https://rightcompound.com/compounds/khobar/desert-rose-compound-al-khobar</t>
  </si>
  <si>
    <t xml:space="preserve">https://rightcompound.com/compounds/khobar/the-pearl-residential-compound</t>
  </si>
  <si>
    <t xml:space="preserve">https://rightcompound.com/compounds/khobar/ronda-residence-compound</t>
  </si>
  <si>
    <t xml:space="preserve">https://compoundin.com/compounds/khobar/ronda-residence</t>
  </si>
  <si>
    <t xml:space="preserve">https://rightcompound.com/compounds/khobar/rima-residence</t>
  </si>
  <si>
    <t xml:space="preserve">https://www.saudiayp.com/company/247717/Rima_Residence</t>
  </si>
  <si>
    <t xml:space="preserve">https://rightcompound.com/compounds/khobar/al-rawabi-pearl-complex</t>
  </si>
  <si>
    <t xml:space="preserve">https://compoundin.com/compounds/khobar/rawabi-pearl-compound</t>
  </si>
  <si>
    <t xml:space="preserve">https://rightcompound.com/compounds/khobar/gulf-homes-compound</t>
  </si>
  <si>
    <t xml:space="preserve">https://rightcompound.com/compounds/khobar/the-vertical-village-compound</t>
  </si>
  <si>
    <t xml:space="preserve">https://rightcompound.com/compounds/khobar/al-ferdouse</t>
  </si>
  <si>
    <t xml:space="preserve">https://rightcompound.com/compounds/khobar/nouf-compound</t>
  </si>
  <si>
    <t xml:space="preserve">https://rightcompound.com/compounds/khobar/medo-park-compound-al-khobar</t>
  </si>
  <si>
    <t xml:space="preserve">https://rightcompound.com/compounds/khobar/residence-complex</t>
  </si>
  <si>
    <t xml:space="preserve">https://rightcompound.com/compounds/khobar/ajdan-rise-tower</t>
  </si>
  <si>
    <t xml:space="preserve">https://rightcompound.com/compounds/khobar/tanmia</t>
  </si>
  <si>
    <t xml:space="preserve">Booking platform</t>
  </si>
  <si>
    <t xml:space="preserve">Excluded during review (not compounds):</t>
  </si>
  <si>
    <t xml:space="preserve">Staybridge Suites Al Khobar - Hotel (189-key all-suite)</t>
  </si>
  <si>
    <t xml:space="preserve">source</t>
  </si>
  <si>
    <t xml:space="preserve">Valencia Hotel Suites - Hotel (71 suites)</t>
  </si>
  <si>
    <t xml:space="preserve">Radisson Blu Residence - Hotel residence; empty listing</t>
  </si>
  <si>
    <t xml:space="preserve">Business Quarter Al Khobar - Office park</t>
  </si>
  <si>
    <t xml:space="preserve">Safa Khobar Residence - Single duplex villa listing, not a compound</t>
  </si>
  <si>
    <t xml:space="preserve">'Compound in Al Khobar' (unnamed) - No compound name</t>
  </si>
  <si>
    <t xml:space="preserve">Al Haqel Residential Compound (Sudir Palace) - Booked as 3-star hotel</t>
  </si>
  <si>
    <t xml:space="preserve">Note: +966 56 399 0906 on RightCompound pages is the platform's own number and is excluded from compound contacts.</t>
  </si>
</sst>
</file>

<file path=xl/styles.xml><?xml version="1.0" encoding="utf-8"?>
<styleSheet xmlns="http://schemas.openxmlformats.org/spreadsheetml/2006/main">
  <numFmts count="3">
    <numFmt numFmtId="164" formatCode="General"/>
    <numFmt numFmtId="165" formatCode="General"/>
    <numFmt numFmtId="166" formatCode="yyyy\-mm\-dd"/>
  </numFmts>
  <fonts count="10">
    <font>
      <sz val="11"/>
      <color theme="1"/>
      <name val="Calibri"/>
      <family val="2"/>
      <charset val="1"/>
    </font>
    <font>
      <sz val="10"/>
      <name val="Arial"/>
      <family val="0"/>
    </font>
    <font>
      <sz val="10"/>
      <name val="Arial"/>
      <family val="0"/>
    </font>
    <font>
      <sz val="10"/>
      <name val="Arial"/>
      <family val="0"/>
    </font>
    <font>
      <b val="true"/>
      <sz val="10"/>
      <color rgb="FFC9A227"/>
      <name val="Arial"/>
      <family val="0"/>
      <charset val="1"/>
    </font>
    <font>
      <sz val="9"/>
      <name val="Arial"/>
      <family val="0"/>
      <charset val="1"/>
    </font>
    <font>
      <u val="single"/>
      <sz val="9"/>
      <color rgb="FF1F4E99"/>
      <name val="Arial"/>
      <family val="0"/>
      <charset val="1"/>
    </font>
    <font>
      <b val="true"/>
      <sz val="9"/>
      <name val="Arial"/>
      <family val="0"/>
      <charset val="1"/>
    </font>
    <font>
      <i val="true"/>
      <sz val="11"/>
      <color rgb="FF888888"/>
      <name val="Arial"/>
      <family val="0"/>
      <charset val="1"/>
    </font>
    <font>
      <i val="true"/>
      <sz val="9"/>
      <name val="Arial"/>
      <family val="0"/>
      <charset val="1"/>
    </font>
  </fonts>
  <fills count="3">
    <fill>
      <patternFill patternType="none"/>
    </fill>
    <fill>
      <patternFill patternType="gray125"/>
    </fill>
    <fill>
      <patternFill patternType="solid">
        <fgColor rgb="FF111111"/>
        <bgColor rgb="FF000000"/>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11111"/>
          <bgColor rgb="FF000000"/>
        </patternFill>
      </fill>
    </dxf>
    <dxf>
      <fill>
        <patternFill patternType="solid">
          <bgColor rgb="FF000000"/>
        </patternFill>
      </fill>
    </dxf>
    <dxf>
      <fill>
        <patternFill patternType="solid">
          <fgColor rgb="FFC9A227"/>
          <bgColor rgb="FF000000"/>
        </patternFill>
      </fill>
    </dxf>
    <dxf>
      <fill>
        <patternFill patternType="solid">
          <fgColor rgb="FF1F4E99"/>
          <bgColor rgb="FF000000"/>
        </patternFill>
      </fill>
    </dxf>
    <dxf>
      <fill>
        <patternFill patternType="solid">
          <fgColor rgb="FF000000"/>
          <bgColor rgb="FF000000"/>
        </patternFill>
      </fill>
    </dxf>
    <dxf>
      <fill>
        <patternFill patternType="solid">
          <fgColor rgb="FF88888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666699"/>
      <rgbColor rgb="FF969696"/>
      <rgbColor rgb="FF003366"/>
      <rgbColor rgb="FF339966"/>
      <rgbColor rgb="FF111111"/>
      <rgbColor rgb="FF333300"/>
      <rgbColor rgb="FF993300"/>
      <rgbColor rgb="FF993366"/>
      <rgbColor rgb="FF1F4E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ogle.com/maps?q=26.34923870138091,50.186673402786255" TargetMode="External"/><Relationship Id="rId2" Type="http://schemas.openxmlformats.org/officeDocument/2006/relationships/hyperlink" Target="https://www.canaryvillage.com/" TargetMode="External"/><Relationship Id="rId3" Type="http://schemas.openxmlformats.org/officeDocument/2006/relationships/hyperlink" Target="https://www.instagram.com/canaryvillage" TargetMode="External"/><Relationship Id="rId4" Type="http://schemas.openxmlformats.org/officeDocument/2006/relationships/hyperlink" Target="https://www.facebook.com/canary.canary.714" TargetMode="External"/><Relationship Id="rId5" Type="http://schemas.openxmlformats.org/officeDocument/2006/relationships/hyperlink" Target="https://rightcompound.com/compounds/khobar/canary-village" TargetMode="External"/><Relationship Id="rId6" Type="http://schemas.openxmlformats.org/officeDocument/2006/relationships/hyperlink" Target="https://canary-vista.com/" TargetMode="External"/><Relationship Id="rId7" Type="http://schemas.openxmlformats.org/officeDocument/2006/relationships/hyperlink" Target="https://instagram.com/canaryvistacommunity" TargetMode="External"/><Relationship Id="rId8" Type="http://schemas.openxmlformats.org/officeDocument/2006/relationships/hyperlink" Target="https://www.facebook.com/2070283359669619" TargetMode="External"/><Relationship Id="rId9" Type="http://schemas.openxmlformats.org/officeDocument/2006/relationships/hyperlink" Target="https://www.eurovillage.sa/" TargetMode="External"/><Relationship Id="rId10" Type="http://schemas.openxmlformats.org/officeDocument/2006/relationships/hyperlink" Target="https://www.instagram.com/eurovillage_compound" TargetMode="External"/><Relationship Id="rId11" Type="http://schemas.openxmlformats.org/officeDocument/2006/relationships/hyperlink" Target="https://www.facebook.com/EuroVillageSA" TargetMode="External"/><Relationship Id="rId12" Type="http://schemas.openxmlformats.org/officeDocument/2006/relationships/hyperlink" Target="https://www.linkedin.com/company/eurovillage-compound" TargetMode="External"/><Relationship Id="rId13" Type="http://schemas.openxmlformats.org/officeDocument/2006/relationships/hyperlink" Target="https://www.lasdunas-sa.com/" TargetMode="External"/><Relationship Id="rId14" Type="http://schemas.openxmlformats.org/officeDocument/2006/relationships/hyperlink" Target="https://www.google.com/maps?q=26.200206046534184,50.21655830783844" TargetMode="External"/><Relationship Id="rId15" Type="http://schemas.openxmlformats.org/officeDocument/2006/relationships/hyperlink" Target="https://www.rivieracompound.com/" TargetMode="External"/><Relationship Id="rId16" Type="http://schemas.openxmlformats.org/officeDocument/2006/relationships/hyperlink" Target="https://www.instagram.com/rivieracompound" TargetMode="External"/><Relationship Id="rId17" Type="http://schemas.openxmlformats.org/officeDocument/2006/relationships/hyperlink" Target="https://www.facebook.com/Rivieracompoundsa" TargetMode="External"/><Relationship Id="rId18" Type="http://schemas.openxmlformats.org/officeDocument/2006/relationships/hyperlink" Target="https://www.linkedin.com/showcase/rivieracompound" TargetMode="External"/><Relationship Id="rId19" Type="http://schemas.openxmlformats.org/officeDocument/2006/relationships/hyperlink" Target="https://www.google.com/maps?q=26.366417942192093,50.2104377746582" TargetMode="External"/><Relationship Id="rId20" Type="http://schemas.openxmlformats.org/officeDocument/2006/relationships/hyperlink" Target="https://www.al-othman.com/ar/al-mohamadia-compound" TargetMode="External"/><Relationship Id="rId21" Type="http://schemas.openxmlformats.org/officeDocument/2006/relationships/hyperlink" Target="https://instagram.com/alothman.holding" TargetMode="External"/><Relationship Id="rId22" Type="http://schemas.openxmlformats.org/officeDocument/2006/relationships/hyperlink" Target="https://www.facebook.com/pages/AlOthman-Holding/1492267767733144" TargetMode="External"/><Relationship Id="rId23" Type="http://schemas.openxmlformats.org/officeDocument/2006/relationships/hyperlink" Target="https://www.linkedin.com/company/al--othman-holding-company" TargetMode="External"/><Relationship Id="rId24" Type="http://schemas.openxmlformats.org/officeDocument/2006/relationships/hyperlink" Target="https://rightcompound.com/compounds/khobar/mohamadia-compound" TargetMode="External"/><Relationship Id="rId25" Type="http://schemas.openxmlformats.org/officeDocument/2006/relationships/hyperlink" Target="https://www.google.com/maps?q=26.36762289954595,50.17397019310001" TargetMode="External"/><Relationship Id="rId26" Type="http://schemas.openxmlformats.org/officeDocument/2006/relationships/hyperlink" Target="https://zamilrealestate.com/en" TargetMode="External"/><Relationship Id="rId27" Type="http://schemas.openxmlformats.org/officeDocument/2006/relationships/hyperlink" Target="https://whichschooladvisor.com/saudi/area-guide/eastern-province/al-khobar" TargetMode="External"/><Relationship Id="rId28" Type="http://schemas.openxmlformats.org/officeDocument/2006/relationships/hyperlink" Target="https://www.google.com/maps?q=26.24914420584735,50.160376757812514" TargetMode="External"/><Relationship Id="rId29" Type="http://schemas.openxmlformats.org/officeDocument/2006/relationships/hyperlink" Target="https://www.google.com/maps?q=26.336098760439462,50.181812972259536" TargetMode="External"/><Relationship Id="rId30" Type="http://schemas.openxmlformats.org/officeDocument/2006/relationships/hyperlink" Target="https://www.google.com/maps?q=26.377356721498337,50.21829128265381" TargetMode="External"/><Relationship Id="rId31" Type="http://schemas.openxmlformats.org/officeDocument/2006/relationships/hyperlink" Target="https://www.retalresidence.com/" TargetMode="External"/><Relationship Id="rId32" Type="http://schemas.openxmlformats.org/officeDocument/2006/relationships/hyperlink" Target="https://www.grandvillage.com.sa/" TargetMode="External"/><Relationship Id="rId33" Type="http://schemas.openxmlformats.org/officeDocument/2006/relationships/hyperlink" Target="https://www.google.com/maps?q=26.20038654366147,50.215007991027846" TargetMode="External"/><Relationship Id="rId34" Type="http://schemas.openxmlformats.org/officeDocument/2006/relationships/hyperlink" Target="https://alef-home.com/" TargetMode="External"/><Relationship Id="rId35" Type="http://schemas.openxmlformats.org/officeDocument/2006/relationships/hyperlink" Target="https://www.instagram.com/alefkhobar" TargetMode="External"/><Relationship Id="rId36" Type="http://schemas.openxmlformats.org/officeDocument/2006/relationships/hyperlink" Target="https://www.facebook.com/Alef-Home-Compound-Khobar-Saudi-Arabia-105496395332383" TargetMode="External"/><Relationship Id="rId37" Type="http://schemas.openxmlformats.org/officeDocument/2006/relationships/hyperlink" Target="https://www.google.com/maps?q=26.338191495848413,50.179667472839355" TargetMode="External"/><Relationship Id="rId38" Type="http://schemas.openxmlformats.org/officeDocument/2006/relationships/hyperlink" Target="https://alansari.com.sa/" TargetMode="External"/><Relationship Id="rId39" Type="http://schemas.openxmlformats.org/officeDocument/2006/relationships/hyperlink" Target="https://www.linkedin.com/company/al-ansari-holding-group" TargetMode="External"/><Relationship Id="rId40" Type="http://schemas.openxmlformats.org/officeDocument/2006/relationships/hyperlink" Target="https://rightcompound.com/compounds/khobar/al-ansary-compound" TargetMode="External"/><Relationship Id="rId41" Type="http://schemas.openxmlformats.org/officeDocument/2006/relationships/hyperlink" Target="https://www.google.com/maps?q=26.324748826257434,50.19234895706177" TargetMode="External"/><Relationship Id="rId42" Type="http://schemas.openxmlformats.org/officeDocument/2006/relationships/hyperlink" Target="https://alansari.com.sa/" TargetMode="External"/><Relationship Id="rId43" Type="http://schemas.openxmlformats.org/officeDocument/2006/relationships/hyperlink" Target="https://rightcompound.com/compounds/khobar/al-ansari-compound-two-al-khobar" TargetMode="External"/><Relationship Id="rId44" Type="http://schemas.openxmlformats.org/officeDocument/2006/relationships/hyperlink" Target="https://www.google.com/maps?q=26.205285436034156,50.18104662976725" TargetMode="External"/><Relationship Id="rId45" Type="http://schemas.openxmlformats.org/officeDocument/2006/relationships/hyperlink" Target="https://www.aswadgroup.com/info/al-aswad-compound" TargetMode="External"/><Relationship Id="rId46" Type="http://schemas.openxmlformats.org/officeDocument/2006/relationships/hyperlink" Target="https://www.aswadgroup.com/info/al-aswad-compound" TargetMode="External"/><Relationship Id="rId47" Type="http://schemas.openxmlformats.org/officeDocument/2006/relationships/hyperlink" Target="https://www.google.com/maps?q=26.335633854929586,50.179710388183594" TargetMode="External"/><Relationship Id="rId48" Type="http://schemas.openxmlformats.org/officeDocument/2006/relationships/hyperlink" Target="https://www.google.com/maps?q=26.327195514852843,50.22515247274714" TargetMode="External"/><Relationship Id="rId49" Type="http://schemas.openxmlformats.org/officeDocument/2006/relationships/hyperlink" Target="https://www.linkedin.com/company/nesma-holding" TargetMode="External"/><Relationship Id="rId50" Type="http://schemas.openxmlformats.org/officeDocument/2006/relationships/hyperlink" Target="https://www.propertyfinder.sa/blog/&#1603;&#1605;&#1576;&#1608;&#1606;&#1583;&#1575;&#1578;-&#1575;&#1604;&#1582;&#1576;&#1585;-&#1605;&#1580;&#1605;&#1593;&#1575;&#1578;-&#1587;&#1603;&#1606;&#1610;&#1577;-&#1593;&#1575;&#1604;&#1605;&#1610;&#1577;-&#1593;&#1604;/" TargetMode="External"/><Relationship Id="rId51" Type="http://schemas.openxmlformats.org/officeDocument/2006/relationships/hyperlink" Target="https://www.google.com/maps?q=26.16613039928917,50.19565317077638" TargetMode="External"/><Relationship Id="rId52" Type="http://schemas.openxmlformats.org/officeDocument/2006/relationships/hyperlink" Target="https://seashoreresidence.com/" TargetMode="External"/><Relationship Id="rId53" Type="http://schemas.openxmlformats.org/officeDocument/2006/relationships/hyperlink" Target="https://www.google.com/maps?q=26.300641872892427,50.171363085937514" TargetMode="External"/><Relationship Id="rId54" Type="http://schemas.openxmlformats.org/officeDocument/2006/relationships/hyperlink" Target="https://www.darwaemaar.com/" TargetMode="External"/><Relationship Id="rId55" Type="http://schemas.openxmlformats.org/officeDocument/2006/relationships/hyperlink" Target="https://rightcompound.com/compounds/khobar/saraya-al-olaya-residential-tower" TargetMode="External"/><Relationship Id="rId56" Type="http://schemas.openxmlformats.org/officeDocument/2006/relationships/hyperlink" Target="https://www.google.com/maps?q=26.327011984018355,50.212315053176894" TargetMode="External"/><Relationship Id="rId57" Type="http://schemas.openxmlformats.org/officeDocument/2006/relationships/hyperlink" Target="https://www.darwaemaar.com/" TargetMode="External"/><Relationship Id="rId58" Type="http://schemas.openxmlformats.org/officeDocument/2006/relationships/hyperlink" Target="https://rightcompound.com/compounds/khobar/saraya-al-rawabi-complex" TargetMode="External"/><Relationship Id="rId59" Type="http://schemas.openxmlformats.org/officeDocument/2006/relationships/hyperlink" Target="https://www.google.com/maps?q=26.304615365874064,50.19149601459503" TargetMode="External"/><Relationship Id="rId60" Type="http://schemas.openxmlformats.org/officeDocument/2006/relationships/hyperlink" Target="https://refadcompound.com/" TargetMode="External"/><Relationship Id="rId61" Type="http://schemas.openxmlformats.org/officeDocument/2006/relationships/hyperlink" Target="https://www.google.com/maps?q=26.371656766223452,50.170419216156006" TargetMode="External"/><Relationship Id="rId62" Type="http://schemas.openxmlformats.org/officeDocument/2006/relationships/hyperlink" Target="https://rightcompound.com/compounds/khobar/palm-springs-compound" TargetMode="External"/><Relationship Id="rId63" Type="http://schemas.openxmlformats.org/officeDocument/2006/relationships/hyperlink" Target="https://www.google.com/maps?q=26.08046140809282,49.998589454689466" TargetMode="External"/><Relationship Id="rId64" Type="http://schemas.openxmlformats.org/officeDocument/2006/relationships/hyperlink" Target="https://www.google.com/maps?q=26.325954217671228,50.1973161403656" TargetMode="External"/><Relationship Id="rId65" Type="http://schemas.openxmlformats.org/officeDocument/2006/relationships/hyperlink" Target="https://www.google.com/maps?q=26.342521575254338,50.15146645946503" TargetMode="External"/><Relationship Id="rId66" Type="http://schemas.openxmlformats.org/officeDocument/2006/relationships/hyperlink" Target="https://www.google.com/maps?q=26.19504996097288,50.215651988983154" TargetMode="External"/><Relationship Id="rId67" Type="http://schemas.openxmlformats.org/officeDocument/2006/relationships/hyperlink" Target="https://www.google.com/maps?q=26.320468702786517,50.155167237353325" TargetMode="External"/><Relationship Id="rId68" Type="http://schemas.openxmlformats.org/officeDocument/2006/relationships/hyperlink" Target="https://www.google.com/maps?q=26.295877391487554,50.110015869140625" TargetMode="External"/><Relationship Id="rId69" Type="http://schemas.openxmlformats.org/officeDocument/2006/relationships/hyperlink" Target="https://www.google.com/maps?q=26.29102951678196,50.21198272705078" TargetMode="External"/><Relationship Id="rId70" Type="http://schemas.openxmlformats.org/officeDocument/2006/relationships/hyperlink" Target="https://rightcompound.com/compounds/khobar/al-riyadh-compound" TargetMode="External"/><Relationship Id="rId71" Type="http://schemas.openxmlformats.org/officeDocument/2006/relationships/hyperlink" Target="https://rightcompound.com/compounds/khobar/al-safa-homes-compound" TargetMode="External"/><Relationship Id="rId72" Type="http://schemas.openxmlformats.org/officeDocument/2006/relationships/hyperlink" Target="https://www.google.com/maps?q=26.36741766272557,50.20357131958008" TargetMode="External"/><Relationship Id="rId73" Type="http://schemas.openxmlformats.org/officeDocument/2006/relationships/hyperlink" Target="https://rightcompound.com/compounds/khobar/al-sharq-homes-compound" TargetMode="External"/><Relationship Id="rId74" Type="http://schemas.openxmlformats.org/officeDocument/2006/relationships/hyperlink" Target="https://www.google.com/maps?q=26.367033155851338,50.20425796508789" TargetMode="External"/><Relationship Id="rId75" Type="http://schemas.openxmlformats.org/officeDocument/2006/relationships/hyperlink" Target="https://rightcompound.com/compounds/khobar/al-yasmeen-homes-compound" TargetMode="External"/><Relationship Id="rId76" Type="http://schemas.openxmlformats.org/officeDocument/2006/relationships/hyperlink" Target="https://www.google.com/maps?q=26.36787906928627,50.20751953125" TargetMode="External"/><Relationship Id="rId77" Type="http://schemas.openxmlformats.org/officeDocument/2006/relationships/hyperlink" Target="https://www.google.com/maps?q=26.336806915299753,50.215415954589844" TargetMode="External"/><Relationship Id="rId78" Type="http://schemas.openxmlformats.org/officeDocument/2006/relationships/hyperlink" Target="https://rightcompound.com/compounds/khobar/al-shablan-compounds" TargetMode="External"/><Relationship Id="rId79" Type="http://schemas.openxmlformats.org/officeDocument/2006/relationships/hyperlink" Target="https://www.google.com/maps?q=26.362604993181485,50.20431134147644" TargetMode="External"/><Relationship Id="rId80" Type="http://schemas.openxmlformats.org/officeDocument/2006/relationships/hyperlink" Target="https://rightcompound.com/compounds/khobar/opal-compound" TargetMode="External"/><Relationship Id="rId81" Type="http://schemas.openxmlformats.org/officeDocument/2006/relationships/hyperlink" Target="https://www.google.com/maps?q=26.323675179160944,50.19464466018678" TargetMode="External"/><Relationship Id="rId82" Type="http://schemas.openxmlformats.org/officeDocument/2006/relationships/hyperlink" Target="https://rightcompound.com/compounds/khobar/sedar-village-compound" TargetMode="External"/><Relationship Id="rId83" Type="http://schemas.openxmlformats.org/officeDocument/2006/relationships/hyperlink" Target="https://www.google.com/maps?q=26.317863421157107,50.21254062652588" TargetMode="External"/><Relationship Id="rId84" Type="http://schemas.openxmlformats.org/officeDocument/2006/relationships/hyperlink" Target="https://rightcompound.com/compounds/khobar/karawan-compound" TargetMode="External"/><Relationship Id="rId85" Type="http://schemas.openxmlformats.org/officeDocument/2006/relationships/hyperlink" Target="https://www.google.com/maps?q=26.192797233553463,50.187435150146484" TargetMode="External"/><Relationship Id="rId86" Type="http://schemas.openxmlformats.org/officeDocument/2006/relationships/hyperlink" Target="https://rightcompound.com/compounds/khobar/gulf-pearl-compound-2" TargetMode="External"/><Relationship Id="rId87" Type="http://schemas.openxmlformats.org/officeDocument/2006/relationships/hyperlink" Target="https://rightcompound.com/compounds/khobar/gulf-pearl-compound-2" TargetMode="External"/><Relationship Id="rId88" Type="http://schemas.openxmlformats.org/officeDocument/2006/relationships/hyperlink" Target="https://www.google.com/maps?q=26.366341040254472,50.19207000732422" TargetMode="External"/><Relationship Id="rId89" Type="http://schemas.openxmlformats.org/officeDocument/2006/relationships/hyperlink" Target="https://rightcompound.com/compounds/khobar/jouri-homes" TargetMode="External"/><Relationship Id="rId90" Type="http://schemas.openxmlformats.org/officeDocument/2006/relationships/hyperlink" Target="https://www.google.com/maps?q=26.291589822182942,50.1777309179306" TargetMode="External"/><Relationship Id="rId91" Type="http://schemas.openxmlformats.org/officeDocument/2006/relationships/hyperlink" Target="https://rightcompound.com/compounds/khobar/al-rashid-residence-towers" TargetMode="External"/><Relationship Id="rId92" Type="http://schemas.openxmlformats.org/officeDocument/2006/relationships/hyperlink" Target="https://www.google.com/maps?q=26.293267415675505,50.18093582242727" TargetMode="External"/><Relationship Id="rId93" Type="http://schemas.openxmlformats.org/officeDocument/2006/relationships/hyperlink" Target="https://www.google.com/maps?q=26.32869477420125,50.19760581893922" TargetMode="External"/><Relationship Id="rId94" Type="http://schemas.openxmlformats.org/officeDocument/2006/relationships/hyperlink" Target="https://oasiscompounds.com/oasisgardens/" TargetMode="External"/><Relationship Id="rId95" Type="http://schemas.openxmlformats.org/officeDocument/2006/relationships/hyperlink" Target="https://www.google.com/maps?q=26.321610516329997,50.192849561016374" TargetMode="External"/><Relationship Id="rId96" Type="http://schemas.openxmlformats.org/officeDocument/2006/relationships/hyperlink" Target="https://gardens.oasiscompounds.com/oasisresorts/" TargetMode="External"/><Relationship Id="rId97" Type="http://schemas.openxmlformats.org/officeDocument/2006/relationships/hyperlink" Target="https://www.google.com/maps?q=26.337162677160794,50.210115909576416" TargetMode="External"/><Relationship Id="rId98" Type="http://schemas.openxmlformats.org/officeDocument/2006/relationships/hyperlink" Target="https://www.google.com/maps?q=26.350546220733328,50.19830882549286" TargetMode="External"/><Relationship Id="rId99" Type="http://schemas.openxmlformats.org/officeDocument/2006/relationships/hyperlink" Target="https://www.google.com/maps?q=26.33094967470234,50.18926414890289" TargetMode="External"/><Relationship Id="rId100" Type="http://schemas.openxmlformats.org/officeDocument/2006/relationships/hyperlink" Target="https://www.google.com/maps?q=26.346364029665327,50.18951654434204" TargetMode="External"/><Relationship Id="rId101" Type="http://schemas.openxmlformats.org/officeDocument/2006/relationships/hyperlink" Target="https://www.google.com/maps?q=26.372011299147502,50.2155654085435" TargetMode="External"/><Relationship Id="rId102" Type="http://schemas.openxmlformats.org/officeDocument/2006/relationships/hyperlink" Target="http://www.rondaco.com/" TargetMode="External"/><Relationship Id="rId103" Type="http://schemas.openxmlformats.org/officeDocument/2006/relationships/hyperlink" Target="https://www.linkedin.com/company/ronda-residence" TargetMode="External"/><Relationship Id="rId104" Type="http://schemas.openxmlformats.org/officeDocument/2006/relationships/hyperlink" Target="https://www.google.com/maps?q=26.315007204244605,50.21381735801697" TargetMode="External"/><Relationship Id="rId105" Type="http://schemas.openxmlformats.org/officeDocument/2006/relationships/hyperlink" Target="https://www.rimaresidence.com/" TargetMode="External"/><Relationship Id="rId106" Type="http://schemas.openxmlformats.org/officeDocument/2006/relationships/hyperlink" Target="https://www.facebook.com/RimaResidence/" TargetMode="External"/><Relationship Id="rId107" Type="http://schemas.openxmlformats.org/officeDocument/2006/relationships/hyperlink" Target="https://www.google.com/maps?q=26.33145352878949,50.205550119280815" TargetMode="External"/><Relationship Id="rId108" Type="http://schemas.openxmlformats.org/officeDocument/2006/relationships/hyperlink" Target="https://www.google.com/maps?q=26.374511585040302,50.12563705444336" TargetMode="External"/><Relationship Id="rId109" Type="http://schemas.openxmlformats.org/officeDocument/2006/relationships/hyperlink" Target="https://www.google.com/maps?q=26.33530069118777,50.203828543853774" TargetMode="External"/><Relationship Id="rId110" Type="http://schemas.openxmlformats.org/officeDocument/2006/relationships/hyperlink" Target="https://www.google.com/maps?q=26.299397744895323,50.202133655548096" TargetMode="External"/><Relationship Id="rId111" Type="http://schemas.openxmlformats.org/officeDocument/2006/relationships/hyperlink" Target="https://www.google.com/maps?q=26.109004827219078,50.139562815856934" TargetMode="External"/><Relationship Id="rId112" Type="http://schemas.openxmlformats.org/officeDocument/2006/relationships/hyperlink" Target="https://www.google.com/maps?q=26.32634510474021,50.190396308898926" TargetMode="External"/><Relationship Id="rId113" Type="http://schemas.openxmlformats.org/officeDocument/2006/relationships/hyperlink" Target="https://www.google.com/maps?q=26.325882096887067,50.19735905570985" TargetMode="External"/><Relationship Id="rId114" Type="http://schemas.openxmlformats.org/officeDocument/2006/relationships/hyperlink" Target="https://www.google.com/maps?q=26.189739141311062,50.21159622116089" TargetMode="External"/><Relationship Id="rId115" Type="http://schemas.openxmlformats.org/officeDocument/2006/relationships/hyperlink" Target="https://www.google.com/maps?q=26.187868036986508,50.17953872680664" TargetMode="External"/><Relationship Id="rId116" Type="http://schemas.openxmlformats.org/officeDocument/2006/relationships/hyperlink" Target="https://www.google.com/maps?q=26.317767253383128,50.18481731414795" TargetMode="External"/><Relationship Id="rId117" Type="http://schemas.openxmlformats.org/officeDocument/2006/relationships/hyperlink" Target="https://www.google.com/maps?q=26.33965635160717,50.20352813644409" TargetMode="External"/><Relationship Id="rId118" Type="http://schemas.openxmlformats.org/officeDocument/2006/relationships/hyperlink" Target="https://www.google.com/maps?q=26.326626225303734,50.215461524792936" TargetMode="External"/><Relationship Id="rId119" Type="http://schemas.openxmlformats.org/officeDocument/2006/relationships/hyperlink" Target="https://www.google.com/maps?q=26.330725141397064,50.18577218055725" TargetMode="External"/><Relationship Id="rId120" Type="http://schemas.openxmlformats.org/officeDocument/2006/relationships/hyperlink" Target="https://www.google.com/maps?q=26.32082955774208,50.21750895848952" TargetMode="External"/><Relationship Id="rId121" Type="http://schemas.openxmlformats.org/officeDocument/2006/relationships/hyperlink" Target="https://www.google.com/maps?q=26.331614590729597,50.19131898880005" TargetMode="External"/><Relationship Id="rId122" Type="http://schemas.openxmlformats.org/officeDocument/2006/relationships/hyperlink" Target="https://www.google.com/maps?q=26.317151777739152,50.21981477737427" TargetMode="External"/><Relationship Id="rId123" Type="http://schemas.openxmlformats.org/officeDocument/2006/relationships/hyperlink" Target="https://www.google.com/maps?q=26.366341040254472,50.206146240234375" TargetMode="External"/><Relationship Id="rId124" Type="http://schemas.openxmlformats.org/officeDocument/2006/relationships/hyperlink" Target="https://www.google.com/maps?q=26.341691333934563,50.151000022888184" TargetMode="External"/><Relationship Id="rId125" Type="http://schemas.openxmlformats.org/officeDocument/2006/relationships/hyperlink" Target="https://www.google.com/maps?q=26.33867224910899,50.206167697906494" TargetMode="External"/><Relationship Id="rId126" Type="http://schemas.openxmlformats.org/officeDocument/2006/relationships/hyperlink" Target="https://www.google.com/maps?q=26.345379441519576,50.200969704750825" TargetMode="External"/><Relationship Id="rId127" Type="http://schemas.openxmlformats.org/officeDocument/2006/relationships/hyperlink" Target="https://www.google.com/maps?q=26.354814783963363,50.210421681404114" TargetMode="External"/><Relationship Id="rId128" Type="http://schemas.openxmlformats.org/officeDocument/2006/relationships/hyperlink" Target="https://www.google.com/maps?q=26.359361976432048,50.19576072692871" TargetMode="External"/><Relationship Id="rId129" Type="http://schemas.openxmlformats.org/officeDocument/2006/relationships/hyperlink" Target="https://www.google.com/maps?q=26.370435997256717,50.171653032302856" TargetMode="External"/><Relationship Id="rId130" Type="http://schemas.openxmlformats.org/officeDocument/2006/relationships/hyperlink" Target="https://www.google.com/maps?q=26.282933409622814,50.22200319213867" TargetMode="External"/><Relationship Id="rId13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ogle.com/maps?q=26.34923870138091,50.186673402786255" TargetMode="External"/><Relationship Id="rId2" Type="http://schemas.openxmlformats.org/officeDocument/2006/relationships/hyperlink" Target="https://www.canaryvillage.com/" TargetMode="External"/><Relationship Id="rId3" Type="http://schemas.openxmlformats.org/officeDocument/2006/relationships/hyperlink" Target="https://www.instagram.com/canaryvillage" TargetMode="External"/><Relationship Id="rId4" Type="http://schemas.openxmlformats.org/officeDocument/2006/relationships/hyperlink" Target="https://www.facebook.com/canary.canary.714" TargetMode="External"/><Relationship Id="rId5" Type="http://schemas.openxmlformats.org/officeDocument/2006/relationships/hyperlink" Target="https://rightcompound.com/compounds/khobar/canary-village" TargetMode="External"/><Relationship Id="rId6" Type="http://schemas.openxmlformats.org/officeDocument/2006/relationships/hyperlink" Target="https://canary-vista.com/" TargetMode="External"/><Relationship Id="rId7" Type="http://schemas.openxmlformats.org/officeDocument/2006/relationships/hyperlink" Target="https://instagram.com/canaryvistacommunity" TargetMode="External"/><Relationship Id="rId8" Type="http://schemas.openxmlformats.org/officeDocument/2006/relationships/hyperlink" Target="https://www.facebook.com/2070283359669619" TargetMode="External"/><Relationship Id="rId9" Type="http://schemas.openxmlformats.org/officeDocument/2006/relationships/hyperlink" Target="https://www.eurovillage.sa/" TargetMode="External"/><Relationship Id="rId10" Type="http://schemas.openxmlformats.org/officeDocument/2006/relationships/hyperlink" Target="https://www.instagram.com/eurovillage_compound" TargetMode="External"/><Relationship Id="rId11" Type="http://schemas.openxmlformats.org/officeDocument/2006/relationships/hyperlink" Target="https://www.facebook.com/EuroVillageSA" TargetMode="External"/><Relationship Id="rId12" Type="http://schemas.openxmlformats.org/officeDocument/2006/relationships/hyperlink" Target="https://www.linkedin.com/company/eurovillage-compound" TargetMode="External"/><Relationship Id="rId13" Type="http://schemas.openxmlformats.org/officeDocument/2006/relationships/hyperlink" Target="https://www.lasdunas-sa.com/" TargetMode="External"/><Relationship Id="rId14" Type="http://schemas.openxmlformats.org/officeDocument/2006/relationships/hyperlink" Target="https://www.google.com/maps?q=26.200206046534184,50.21655830783844" TargetMode="External"/><Relationship Id="rId15" Type="http://schemas.openxmlformats.org/officeDocument/2006/relationships/hyperlink" Target="https://www.rivieracompound.com/" TargetMode="External"/><Relationship Id="rId16" Type="http://schemas.openxmlformats.org/officeDocument/2006/relationships/hyperlink" Target="https://www.instagram.com/rivieracompound" TargetMode="External"/><Relationship Id="rId17" Type="http://schemas.openxmlformats.org/officeDocument/2006/relationships/hyperlink" Target="https://www.facebook.com/Rivieracompoundsa" TargetMode="External"/><Relationship Id="rId18" Type="http://schemas.openxmlformats.org/officeDocument/2006/relationships/hyperlink" Target="https://www.linkedin.com/showcase/rivieracompound" TargetMode="External"/><Relationship Id="rId19" Type="http://schemas.openxmlformats.org/officeDocument/2006/relationships/hyperlink" Target="https://www.google.com/maps?q=26.366417942192093,50.2104377746582" TargetMode="External"/><Relationship Id="rId20" Type="http://schemas.openxmlformats.org/officeDocument/2006/relationships/hyperlink" Target="https://www.al-othman.com/ar/al-mohamadia-compound" TargetMode="External"/><Relationship Id="rId21" Type="http://schemas.openxmlformats.org/officeDocument/2006/relationships/hyperlink" Target="https://instagram.com/alothman.holding" TargetMode="External"/><Relationship Id="rId22" Type="http://schemas.openxmlformats.org/officeDocument/2006/relationships/hyperlink" Target="https://www.facebook.com/pages/AlOthman-Holding/1492267767733144" TargetMode="External"/><Relationship Id="rId23" Type="http://schemas.openxmlformats.org/officeDocument/2006/relationships/hyperlink" Target="https://www.linkedin.com/company/al--othman-holding-company" TargetMode="External"/><Relationship Id="rId24" Type="http://schemas.openxmlformats.org/officeDocument/2006/relationships/hyperlink" Target="https://rightcompound.com/compounds/khobar/mohamadia-compound" TargetMode="External"/><Relationship Id="rId25" Type="http://schemas.openxmlformats.org/officeDocument/2006/relationships/hyperlink" Target="https://www.google.com/maps?q=26.36762289954595,50.17397019310001" TargetMode="External"/><Relationship Id="rId26" Type="http://schemas.openxmlformats.org/officeDocument/2006/relationships/hyperlink" Target="https://zamilrealestate.com/en" TargetMode="External"/><Relationship Id="rId27" Type="http://schemas.openxmlformats.org/officeDocument/2006/relationships/hyperlink" Target="https://whichschooladvisor.com/saudi/area-guide/eastern-province/al-khobar" TargetMode="External"/><Relationship Id="rId28" Type="http://schemas.openxmlformats.org/officeDocument/2006/relationships/hyperlink" Target="https://www.google.com/maps?q=26.24914420584735,50.160376757812514" TargetMode="External"/><Relationship Id="rId29" Type="http://schemas.openxmlformats.org/officeDocument/2006/relationships/hyperlink" Target="https://www.google.com/maps?q=26.336098760439462,50.181812972259536" TargetMode="External"/><Relationship Id="rId30" Type="http://schemas.openxmlformats.org/officeDocument/2006/relationships/hyperlink" Target="https://www.google.com/maps?q=26.377356721498337,50.21829128265381" TargetMode="External"/><Relationship Id="rId31" Type="http://schemas.openxmlformats.org/officeDocument/2006/relationships/hyperlink" Target="https://www.retalresidence.com/" TargetMode="External"/><Relationship Id="rId32" Type="http://schemas.openxmlformats.org/officeDocument/2006/relationships/hyperlink" Target="https://www.grandvillage.com.sa/" TargetMode="External"/><Relationship Id="rId33" Type="http://schemas.openxmlformats.org/officeDocument/2006/relationships/hyperlink" Target="https://www.google.com/maps?q=26.20038654366147,50.215007991027846" TargetMode="External"/><Relationship Id="rId34" Type="http://schemas.openxmlformats.org/officeDocument/2006/relationships/hyperlink" Target="https://alef-home.com/" TargetMode="External"/><Relationship Id="rId35" Type="http://schemas.openxmlformats.org/officeDocument/2006/relationships/hyperlink" Target="https://www.instagram.com/alefkhobar" TargetMode="External"/><Relationship Id="rId36" Type="http://schemas.openxmlformats.org/officeDocument/2006/relationships/hyperlink" Target="https://www.facebook.com/Alef-Home-Compound-Khobar-Saudi-Arabia-105496395332383" TargetMode="External"/><Relationship Id="rId37" Type="http://schemas.openxmlformats.org/officeDocument/2006/relationships/hyperlink" Target="https://www.google.com/maps?q=26.338191495848413,50.179667472839355" TargetMode="External"/><Relationship Id="rId38" Type="http://schemas.openxmlformats.org/officeDocument/2006/relationships/hyperlink" Target="https://alansari.com.sa/" TargetMode="External"/><Relationship Id="rId39" Type="http://schemas.openxmlformats.org/officeDocument/2006/relationships/hyperlink" Target="https://www.linkedin.com/company/al-ansari-holding-group" TargetMode="External"/><Relationship Id="rId40" Type="http://schemas.openxmlformats.org/officeDocument/2006/relationships/hyperlink" Target="https://rightcompound.com/compounds/khobar/al-ansary-compound" TargetMode="External"/><Relationship Id="rId41" Type="http://schemas.openxmlformats.org/officeDocument/2006/relationships/hyperlink" Target="https://www.google.com/maps?q=26.324748826257434,50.19234895706177" TargetMode="External"/><Relationship Id="rId42" Type="http://schemas.openxmlformats.org/officeDocument/2006/relationships/hyperlink" Target="https://alansari.com.sa/" TargetMode="External"/><Relationship Id="rId43" Type="http://schemas.openxmlformats.org/officeDocument/2006/relationships/hyperlink" Target="https://rightcompound.com/compounds/khobar/al-ansari-compound-two-al-khobar" TargetMode="External"/><Relationship Id="rId44" Type="http://schemas.openxmlformats.org/officeDocument/2006/relationships/hyperlink" Target="https://www.google.com/maps?q=26.205285436034156,50.18104662976725" TargetMode="External"/><Relationship Id="rId45" Type="http://schemas.openxmlformats.org/officeDocument/2006/relationships/hyperlink" Target="https://www.aswadgroup.com/info/al-aswad-compound" TargetMode="External"/><Relationship Id="rId46" Type="http://schemas.openxmlformats.org/officeDocument/2006/relationships/hyperlink" Target="https://www.aswadgroup.com/info/al-aswad-compound" TargetMode="External"/><Relationship Id="rId47" Type="http://schemas.openxmlformats.org/officeDocument/2006/relationships/hyperlink" Target="https://www.google.com/maps?q=26.335633854929586,50.179710388183594" TargetMode="External"/><Relationship Id="rId48" Type="http://schemas.openxmlformats.org/officeDocument/2006/relationships/hyperlink" Target="https://www.google.com/maps?q=26.327195514852843,50.22515247274714" TargetMode="External"/><Relationship Id="rId49" Type="http://schemas.openxmlformats.org/officeDocument/2006/relationships/hyperlink" Target="https://www.linkedin.com/company/nesma-holding" TargetMode="External"/><Relationship Id="rId50" Type="http://schemas.openxmlformats.org/officeDocument/2006/relationships/hyperlink" Target="https://www.propertyfinder.sa/blog/&#1603;&#1605;&#1576;&#1608;&#1606;&#1583;&#1575;&#1578;-&#1575;&#1604;&#1582;&#1576;&#1585;-&#1605;&#1580;&#1605;&#1593;&#1575;&#1578;-&#1587;&#1603;&#1606;&#1610;&#1577;-&#1593;&#1575;&#1604;&#1605;&#1610;&#1577;-&#1593;&#1604;/" TargetMode="External"/><Relationship Id="rId51" Type="http://schemas.openxmlformats.org/officeDocument/2006/relationships/hyperlink" Target="https://www.google.com/maps?q=26.16613039928917,50.19565317077638" TargetMode="External"/><Relationship Id="rId52" Type="http://schemas.openxmlformats.org/officeDocument/2006/relationships/hyperlink" Target="https://seashoreresidence.com/" TargetMode="External"/><Relationship Id="rId53" Type="http://schemas.openxmlformats.org/officeDocument/2006/relationships/hyperlink" Target="https://www.google.com/maps?q=26.300641872892427,50.171363085937514" TargetMode="External"/><Relationship Id="rId54" Type="http://schemas.openxmlformats.org/officeDocument/2006/relationships/hyperlink" Target="https://www.darwaemaar.com/" TargetMode="External"/><Relationship Id="rId55" Type="http://schemas.openxmlformats.org/officeDocument/2006/relationships/hyperlink" Target="https://rightcompound.com/compounds/khobar/saraya-al-olaya-residential-tower" TargetMode="External"/><Relationship Id="rId56" Type="http://schemas.openxmlformats.org/officeDocument/2006/relationships/hyperlink" Target="https://www.google.com/maps?q=26.327011984018355,50.212315053176894" TargetMode="External"/><Relationship Id="rId57" Type="http://schemas.openxmlformats.org/officeDocument/2006/relationships/hyperlink" Target="https://www.darwaemaar.com/" TargetMode="External"/><Relationship Id="rId58" Type="http://schemas.openxmlformats.org/officeDocument/2006/relationships/hyperlink" Target="https://rightcompound.com/compounds/khobar/saraya-al-rawabi-complex" TargetMode="External"/><Relationship Id="rId59" Type="http://schemas.openxmlformats.org/officeDocument/2006/relationships/hyperlink" Target="https://www.google.com/maps?q=26.304615365874064,50.19149601459503" TargetMode="External"/><Relationship Id="rId60" Type="http://schemas.openxmlformats.org/officeDocument/2006/relationships/hyperlink" Target="https://refadcompound.com/" TargetMode="External"/><Relationship Id="rId61" Type="http://schemas.openxmlformats.org/officeDocument/2006/relationships/hyperlink" Target="https://www.google.com/maps?q=26.371656766223452,50.170419216156006" TargetMode="External"/><Relationship Id="rId62" Type="http://schemas.openxmlformats.org/officeDocument/2006/relationships/hyperlink" Target="https://rightcompound.com/compounds/khobar/palm-springs-compound" TargetMode="External"/><Relationship Id="rId63" Type="http://schemas.openxmlformats.org/officeDocument/2006/relationships/hyperlink" Target="https://www.google.com/maps?q=26.08046140809282,49.998589454689466" TargetMode="External"/><Relationship Id="rId64" Type="http://schemas.openxmlformats.org/officeDocument/2006/relationships/hyperlink" Target="https://www.google.com/maps?q=26.325954217671228,50.1973161403656" TargetMode="External"/><Relationship Id="rId65" Type="http://schemas.openxmlformats.org/officeDocument/2006/relationships/hyperlink" Target="https://www.google.com/maps?q=26.342521575254338,50.15146645946503" TargetMode="External"/><Relationship Id="rId66" Type="http://schemas.openxmlformats.org/officeDocument/2006/relationships/hyperlink" Target="https://www.google.com/maps?q=26.19504996097288,50.215651988983154" TargetMode="External"/><Relationship Id="rId67" Type="http://schemas.openxmlformats.org/officeDocument/2006/relationships/hyperlink" Target="https://www.google.com/maps?q=26.320468702786517,50.155167237353325" TargetMode="External"/><Relationship Id="rId68" Type="http://schemas.openxmlformats.org/officeDocument/2006/relationships/hyperlink" Target="https://www.google.com/maps?q=26.295877391487554,50.110015869140625" TargetMode="External"/><Relationship Id="rId69" Type="http://schemas.openxmlformats.org/officeDocument/2006/relationships/hyperlink" Target="https://www.google.com/maps?q=26.29102951678196,50.21198272705078" TargetMode="External"/><Relationship Id="rId70" Type="http://schemas.openxmlformats.org/officeDocument/2006/relationships/hyperlink" Target="https://rightcompound.com/compounds/khobar/al-riyadh-compound" TargetMode="External"/><Relationship Id="rId71" Type="http://schemas.openxmlformats.org/officeDocument/2006/relationships/hyperlink" Target="https://rightcompound.com/compounds/khobar/al-safa-homes-compound" TargetMode="External"/><Relationship Id="rId72" Type="http://schemas.openxmlformats.org/officeDocument/2006/relationships/hyperlink" Target="https://www.google.com/maps?q=26.36741766272557,50.20357131958008" TargetMode="External"/><Relationship Id="rId73" Type="http://schemas.openxmlformats.org/officeDocument/2006/relationships/hyperlink" Target="https://rightcompound.com/compounds/khobar/al-sharq-homes-compound" TargetMode="External"/><Relationship Id="rId74" Type="http://schemas.openxmlformats.org/officeDocument/2006/relationships/hyperlink" Target="https://www.google.com/maps?q=26.367033155851338,50.20425796508789" TargetMode="External"/><Relationship Id="rId75" Type="http://schemas.openxmlformats.org/officeDocument/2006/relationships/hyperlink" Target="https://rightcompound.com/compounds/khobar/al-yasmeen-homes-compound" TargetMode="External"/><Relationship Id="rId76" Type="http://schemas.openxmlformats.org/officeDocument/2006/relationships/hyperlink" Target="https://www.google.com/maps?q=26.36787906928627,50.20751953125" TargetMode="External"/><Relationship Id="rId77" Type="http://schemas.openxmlformats.org/officeDocument/2006/relationships/hyperlink" Target="https://www.google.com/maps?q=26.336806915299753,50.215415954589844" TargetMode="External"/><Relationship Id="rId78" Type="http://schemas.openxmlformats.org/officeDocument/2006/relationships/hyperlink" Target="https://rightcompound.com/compounds/khobar/al-shablan-compounds" TargetMode="External"/><Relationship Id="rId79" Type="http://schemas.openxmlformats.org/officeDocument/2006/relationships/hyperlink" Target="https://www.google.com/maps?q=26.362604993181485,50.20431134147644" TargetMode="External"/><Relationship Id="rId80" Type="http://schemas.openxmlformats.org/officeDocument/2006/relationships/hyperlink" Target="https://rightcompound.com/compounds/khobar/opal-compound" TargetMode="External"/><Relationship Id="rId81" Type="http://schemas.openxmlformats.org/officeDocument/2006/relationships/hyperlink" Target="https://www.google.com/maps?q=26.323675179160944,50.19464466018678" TargetMode="External"/><Relationship Id="rId82" Type="http://schemas.openxmlformats.org/officeDocument/2006/relationships/hyperlink" Target="https://rightcompound.com/compounds/khobar/sedar-village-compound" TargetMode="External"/><Relationship Id="rId83" Type="http://schemas.openxmlformats.org/officeDocument/2006/relationships/hyperlink" Target="https://www.google.com/maps?q=26.317863421157107,50.21254062652588" TargetMode="External"/><Relationship Id="rId84" Type="http://schemas.openxmlformats.org/officeDocument/2006/relationships/hyperlink" Target="https://rightcompound.com/compounds/khobar/karawan-compound" TargetMode="External"/><Relationship Id="rId85" Type="http://schemas.openxmlformats.org/officeDocument/2006/relationships/hyperlink" Target="https://www.google.com/maps?q=26.192797233553463,50.187435150146484" TargetMode="External"/><Relationship Id="rId86" Type="http://schemas.openxmlformats.org/officeDocument/2006/relationships/hyperlink" Target="https://rightcompound.com/compounds/khobar/gulf-pearl-compound-2" TargetMode="External"/><Relationship Id="rId87" Type="http://schemas.openxmlformats.org/officeDocument/2006/relationships/hyperlink" Target="https://rightcompound.com/compounds/khobar/gulf-pearl-compound-2" TargetMode="External"/><Relationship Id="rId88" Type="http://schemas.openxmlformats.org/officeDocument/2006/relationships/hyperlink" Target="https://www.google.com/maps?q=26.366341040254472,50.19207000732422" TargetMode="External"/><Relationship Id="rId89" Type="http://schemas.openxmlformats.org/officeDocument/2006/relationships/hyperlink" Target="https://rightcompound.com/compounds/khobar/jouri-homes" TargetMode="External"/><Relationship Id="rId90" Type="http://schemas.openxmlformats.org/officeDocument/2006/relationships/hyperlink" Target="https://www.google.com/maps?q=26.291589822182942,50.1777309179306" TargetMode="External"/><Relationship Id="rId91" Type="http://schemas.openxmlformats.org/officeDocument/2006/relationships/hyperlink" Target="https://rightcompound.com/compounds/khobar/al-rashid-residence-towers" TargetMode="External"/><Relationship Id="rId92" Type="http://schemas.openxmlformats.org/officeDocument/2006/relationships/hyperlink" Target="https://www.google.com/maps?q=26.293267415675505,50.18093582242727" TargetMode="External"/><Relationship Id="rId93" Type="http://schemas.openxmlformats.org/officeDocument/2006/relationships/hyperlink" Target="https://www.google.com/maps?q=26.32869477420125,50.19760581893922" TargetMode="External"/><Relationship Id="rId94" Type="http://schemas.openxmlformats.org/officeDocument/2006/relationships/hyperlink" Target="https://oasiscompounds.com/oasisgardens/" TargetMode="External"/><Relationship Id="rId95" Type="http://schemas.openxmlformats.org/officeDocument/2006/relationships/hyperlink" Target="https://www.google.com/maps?q=26.321610516329997,50.192849561016374" TargetMode="External"/><Relationship Id="rId96" Type="http://schemas.openxmlformats.org/officeDocument/2006/relationships/hyperlink" Target="https://gardens.oasiscompounds.com/oasisresorts/" TargetMode="External"/><Relationship Id="rId97" Type="http://schemas.openxmlformats.org/officeDocument/2006/relationships/hyperlink" Target="https://www.google.com/maps?q=26.337162677160794,50.210115909576416" TargetMode="External"/><Relationship Id="rId98" Type="http://schemas.openxmlformats.org/officeDocument/2006/relationships/hyperlink" Target="https://www.google.com/maps?q=26.350546220733328,50.19830882549286" TargetMode="External"/><Relationship Id="rId99" Type="http://schemas.openxmlformats.org/officeDocument/2006/relationships/hyperlink" Target="https://www.google.com/maps?q=26.33094967470234,50.18926414890289" TargetMode="External"/><Relationship Id="rId100" Type="http://schemas.openxmlformats.org/officeDocument/2006/relationships/hyperlink" Target="https://www.google.com/maps?q=26.346364029665327,50.18951654434204" TargetMode="External"/><Relationship Id="rId101" Type="http://schemas.openxmlformats.org/officeDocument/2006/relationships/hyperlink" Target="https://www.google.com/maps?q=26.372011299147502,50.2155654085435" TargetMode="External"/><Relationship Id="rId102" Type="http://schemas.openxmlformats.org/officeDocument/2006/relationships/hyperlink" Target="http://www.rondaco.com/" TargetMode="External"/><Relationship Id="rId103" Type="http://schemas.openxmlformats.org/officeDocument/2006/relationships/hyperlink" Target="https://www.linkedin.com/company/ronda-residence" TargetMode="External"/><Relationship Id="rId104" Type="http://schemas.openxmlformats.org/officeDocument/2006/relationships/hyperlink" Target="https://www.google.com/maps?q=26.315007204244605,50.21381735801697" TargetMode="External"/><Relationship Id="rId105" Type="http://schemas.openxmlformats.org/officeDocument/2006/relationships/hyperlink" Target="https://www.rimaresidence.com/" TargetMode="External"/><Relationship Id="rId106" Type="http://schemas.openxmlformats.org/officeDocument/2006/relationships/hyperlink" Target="https://www.facebook.com/RimaResidence/" TargetMode="External"/><Relationship Id="rId107" Type="http://schemas.openxmlformats.org/officeDocument/2006/relationships/hyperlink" Target="https://www.google.com/maps?q=26.33145352878949,50.205550119280815" TargetMode="External"/><Relationship Id="rId108" Type="http://schemas.openxmlformats.org/officeDocument/2006/relationships/hyperlink" Target="https://www.google.com/maps?q=26.374511585040302,50.12563705444336" TargetMode="External"/><Relationship Id="rId109" Type="http://schemas.openxmlformats.org/officeDocument/2006/relationships/hyperlink" Target="https://www.google.com/maps?q=26.33530069118777,50.203828543853774" TargetMode="External"/><Relationship Id="rId110" Type="http://schemas.openxmlformats.org/officeDocument/2006/relationships/hyperlink" Target="https://www.google.com/maps?q=26.299397744895323,50.202133655548096" TargetMode="External"/><Relationship Id="rId111" Type="http://schemas.openxmlformats.org/officeDocument/2006/relationships/hyperlink" Target="https://www.google.com/maps?q=26.109004827219078,50.139562815856934" TargetMode="External"/><Relationship Id="rId112" Type="http://schemas.openxmlformats.org/officeDocument/2006/relationships/hyperlink" Target="https://www.google.com/maps?q=26.32634510474021,50.190396308898926" TargetMode="External"/><Relationship Id="rId113" Type="http://schemas.openxmlformats.org/officeDocument/2006/relationships/hyperlink" Target="https://www.google.com/maps?q=26.325882096887067,50.19735905570985" TargetMode="External"/><Relationship Id="rId114" Type="http://schemas.openxmlformats.org/officeDocument/2006/relationships/hyperlink" Target="https://www.google.com/maps?q=26.189739141311062,50.21159622116089" TargetMode="External"/><Relationship Id="rId115" Type="http://schemas.openxmlformats.org/officeDocument/2006/relationships/hyperlink" Target="https://www.google.com/maps?q=26.187868036986508,50.17953872680664" TargetMode="External"/><Relationship Id="rId116" Type="http://schemas.openxmlformats.org/officeDocument/2006/relationships/hyperlink" Target="https://www.google.com/maps?q=26.317767253383128,50.18481731414795" TargetMode="External"/><Relationship Id="rId117" Type="http://schemas.openxmlformats.org/officeDocument/2006/relationships/hyperlink" Target="https://www.google.com/maps?q=26.33965635160717,50.20352813644409" TargetMode="External"/><Relationship Id="rId118" Type="http://schemas.openxmlformats.org/officeDocument/2006/relationships/hyperlink" Target="https://www.google.com/maps?q=26.326626225303734,50.215461524792936" TargetMode="External"/><Relationship Id="rId119" Type="http://schemas.openxmlformats.org/officeDocument/2006/relationships/hyperlink" Target="https://www.google.com/maps?q=26.330725141397064,50.18577218055725" TargetMode="External"/><Relationship Id="rId120" Type="http://schemas.openxmlformats.org/officeDocument/2006/relationships/hyperlink" Target="https://www.google.com/maps?q=26.32082955774208,50.21750895848952" TargetMode="External"/><Relationship Id="rId121" Type="http://schemas.openxmlformats.org/officeDocument/2006/relationships/hyperlink" Target="https://www.google.com/maps?q=26.331614590729597,50.19131898880005" TargetMode="External"/><Relationship Id="rId122" Type="http://schemas.openxmlformats.org/officeDocument/2006/relationships/hyperlink" Target="https://www.google.com/maps?q=26.317151777739152,50.21981477737427" TargetMode="External"/><Relationship Id="rId123" Type="http://schemas.openxmlformats.org/officeDocument/2006/relationships/hyperlink" Target="https://www.google.com/maps?q=26.366341040254472,50.206146240234375" TargetMode="External"/><Relationship Id="rId124" Type="http://schemas.openxmlformats.org/officeDocument/2006/relationships/hyperlink" Target="https://www.google.com/maps?q=26.341691333934563,50.151000022888184" TargetMode="External"/><Relationship Id="rId125" Type="http://schemas.openxmlformats.org/officeDocument/2006/relationships/hyperlink" Target="https://www.google.com/maps?q=26.33867224910899,50.206167697906494" TargetMode="External"/><Relationship Id="rId126" Type="http://schemas.openxmlformats.org/officeDocument/2006/relationships/hyperlink" Target="https://www.google.com/maps?q=26.345379441519576,50.200969704750825" TargetMode="External"/><Relationship Id="rId127" Type="http://schemas.openxmlformats.org/officeDocument/2006/relationships/hyperlink" Target="https://www.google.com/maps?q=26.354814783963363,50.210421681404114" TargetMode="External"/><Relationship Id="rId128" Type="http://schemas.openxmlformats.org/officeDocument/2006/relationships/hyperlink" Target="https://www.google.com/maps?q=26.359361976432048,50.19576072692871" TargetMode="External"/><Relationship Id="rId129" Type="http://schemas.openxmlformats.org/officeDocument/2006/relationships/hyperlink" Target="https://www.google.com/maps?q=26.370435997256717,50.171653032302856" TargetMode="External"/><Relationship Id="rId130" Type="http://schemas.openxmlformats.org/officeDocument/2006/relationships/hyperlink" Target="https://www.google.com/maps?q=26.282933409622814,50.22200319213867" TargetMode="External"/><Relationship Id="rId13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hyperlink" Target="https://www.canaryvillage.com/" TargetMode="External"/><Relationship Id="rId2" Type="http://schemas.openxmlformats.org/officeDocument/2006/relationships/hyperlink" Target="https://www.canaryvillage.com/" TargetMode="External"/><Relationship Id="rId3" Type="http://schemas.openxmlformats.org/officeDocument/2006/relationships/hyperlink" Target="https://www.canaryvillage.com/" TargetMode="External"/><Relationship Id="rId4" Type="http://schemas.openxmlformats.org/officeDocument/2006/relationships/hyperlink" Target="https://www.canaryvillage.com/" TargetMode="External"/><Relationship Id="rId5" Type="http://schemas.openxmlformats.org/officeDocument/2006/relationships/hyperlink" Target="https://canary-vista.com/" TargetMode="External"/><Relationship Id="rId6" Type="http://schemas.openxmlformats.org/officeDocument/2006/relationships/hyperlink" Target="https://canary-vista.com/" TargetMode="External"/><Relationship Id="rId7" Type="http://schemas.openxmlformats.org/officeDocument/2006/relationships/hyperlink" Target="https://canary-vista.com/" TargetMode="External"/><Relationship Id="rId8" Type="http://schemas.openxmlformats.org/officeDocument/2006/relationships/hyperlink" Target="https://www.eurovillage.sa/contact/" TargetMode="External"/><Relationship Id="rId9" Type="http://schemas.openxmlformats.org/officeDocument/2006/relationships/hyperlink" Target="https://www.lasdunas-sa.com/" TargetMode="External"/><Relationship Id="rId10" Type="http://schemas.openxmlformats.org/officeDocument/2006/relationships/hyperlink" Target="https://www.lasdunas-sa.com/" TargetMode="External"/><Relationship Id="rId11" Type="http://schemas.openxmlformats.org/officeDocument/2006/relationships/hyperlink" Target="https://www.rivieracompound.com/" TargetMode="External"/><Relationship Id="rId12" Type="http://schemas.openxmlformats.org/officeDocument/2006/relationships/hyperlink" Target="https://www.rivieracompound.com/" TargetMode="External"/><Relationship Id="rId13" Type="http://schemas.openxmlformats.org/officeDocument/2006/relationships/hyperlink" Target="https://www.rivieracompound.com/" TargetMode="External"/><Relationship Id="rId14" Type="http://schemas.openxmlformats.org/officeDocument/2006/relationships/hyperlink" Target="https://www.al-othman.com/ar/al-mohamadia-compound" TargetMode="External"/><Relationship Id="rId15" Type="http://schemas.openxmlformats.org/officeDocument/2006/relationships/hyperlink" Target="https://www.al-othman.com/ar/al-mohamadia-compound" TargetMode="External"/><Relationship Id="rId16" Type="http://schemas.openxmlformats.org/officeDocument/2006/relationships/hyperlink" Target="https://www.al-othman.com/ar/al-mohamadia-compound" TargetMode="External"/><Relationship Id="rId17" Type="http://schemas.openxmlformats.org/officeDocument/2006/relationships/hyperlink" Target="https://zamilrealestate.com/en" TargetMode="External"/><Relationship Id="rId18" Type="http://schemas.openxmlformats.org/officeDocument/2006/relationships/hyperlink" Target="https://zamilrealestate.com/en" TargetMode="External"/><Relationship Id="rId19" Type="http://schemas.openxmlformats.org/officeDocument/2006/relationships/hyperlink" Target="https://zamilrealestate.com/en" TargetMode="External"/><Relationship Id="rId20" Type="http://schemas.openxmlformats.org/officeDocument/2006/relationships/hyperlink" Target="https://www.retalresidence.com/" TargetMode="External"/><Relationship Id="rId21" Type="http://schemas.openxmlformats.org/officeDocument/2006/relationships/hyperlink" Target="https://www.retalresidence.com/" TargetMode="External"/><Relationship Id="rId22" Type="http://schemas.openxmlformats.org/officeDocument/2006/relationships/hyperlink" Target="https://www.retalresidence.com/" TargetMode="External"/><Relationship Id="rId23" Type="http://schemas.openxmlformats.org/officeDocument/2006/relationships/hyperlink" Target="https://www.retalresidence.com/" TargetMode="External"/><Relationship Id="rId24" Type="http://schemas.openxmlformats.org/officeDocument/2006/relationships/hyperlink" Target="https://www.grandvillage.com.sa/" TargetMode="External"/><Relationship Id="rId25" Type="http://schemas.openxmlformats.org/officeDocument/2006/relationships/hyperlink" Target="https://www.grandvillage.com.sa/" TargetMode="External"/><Relationship Id="rId26" Type="http://schemas.openxmlformats.org/officeDocument/2006/relationships/hyperlink" Target="https://alef-home.com/" TargetMode="External"/><Relationship Id="rId27" Type="http://schemas.openxmlformats.org/officeDocument/2006/relationships/hyperlink" Target="https://rightcompound.com/compounds/khobar/al-ansary-compound" TargetMode="External"/><Relationship Id="rId28" Type="http://schemas.openxmlformats.org/officeDocument/2006/relationships/hyperlink" Target="https://alansari.com.sa/contact-us/" TargetMode="External"/><Relationship Id="rId29" Type="http://schemas.openxmlformats.org/officeDocument/2006/relationships/hyperlink" Target="https://alansari.com.sa/contact-us/" TargetMode="External"/><Relationship Id="rId30" Type="http://schemas.openxmlformats.org/officeDocument/2006/relationships/hyperlink" Target="https://rightcompound.com/compounds/khobar/al-ansari-compound-two-al-khobar" TargetMode="External"/><Relationship Id="rId31" Type="http://schemas.openxmlformats.org/officeDocument/2006/relationships/hyperlink" Target="https://www.aswadgroup.com/info/al-aswad-compound" TargetMode="External"/><Relationship Id="rId32" Type="http://schemas.openxmlformats.org/officeDocument/2006/relationships/hyperlink" Target="https://www.aswadgroup.com/info/al-aswad-compound" TargetMode="External"/><Relationship Id="rId33" Type="http://schemas.openxmlformats.org/officeDocument/2006/relationships/hyperlink" Target="https://www.aswadgroup.com/info/al-aswad-compound" TargetMode="External"/><Relationship Id="rId34" Type="http://schemas.openxmlformats.org/officeDocument/2006/relationships/hyperlink" Target="https://www.propertyfinder.sa/blog/&#1603;&#1605;&#1576;&#1608;&#1606;&#1583;&#1575;&#1578;-&#1575;&#1604;&#1582;&#1576;&#1585;-&#1605;&#1580;&#1605;&#1593;&#1575;&#1578;-&#1587;&#1603;&#1606;&#1610;&#1577;-&#1593;&#1575;&#1604;&#1605;&#1610;&#1577;-&#1593;&#1604;/" TargetMode="External"/><Relationship Id="rId35" Type="http://schemas.openxmlformats.org/officeDocument/2006/relationships/hyperlink" Target="https://www.propertyfinder.sa/blog/&#1603;&#1605;&#1576;&#1608;&#1606;&#1583;&#1575;&#1578;-&#1575;&#1604;&#1582;&#1576;&#1585;-&#1605;&#1580;&#1605;&#1593;&#1575;&#1578;-&#1587;&#1603;&#1606;&#1610;&#1577;-&#1593;&#1575;&#1604;&#1605;&#1610;&#1577;-&#1593;&#1604;/" TargetMode="External"/><Relationship Id="rId36" Type="http://schemas.openxmlformats.org/officeDocument/2006/relationships/hyperlink" Target="https://www.propertyfinder.sa/blog/&#1603;&#1605;&#1576;&#1608;&#1606;&#1583;&#1575;&#1578;-&#1575;&#1604;&#1582;&#1576;&#1585;-&#1605;&#1580;&#1605;&#1593;&#1575;&#1578;-&#1587;&#1603;&#1606;&#1610;&#1577;-&#1593;&#1575;&#1604;&#1605;&#1610;&#1577;-&#1593;&#1604;/" TargetMode="External"/><Relationship Id="rId37" Type="http://schemas.openxmlformats.org/officeDocument/2006/relationships/hyperlink" Target="https://www.propertyfinder.sa/blog/&#1603;&#1605;&#1576;&#1608;&#1606;&#1583;&#1575;&#1578;-&#1575;&#1604;&#1582;&#1576;&#1585;-&#1605;&#1580;&#1605;&#1593;&#1575;&#1578;-&#1587;&#1603;&#1606;&#1610;&#1577;-&#1593;&#1575;&#1604;&#1605;&#1610;&#1577;-&#1593;&#1604;/" TargetMode="External"/><Relationship Id="rId38" Type="http://schemas.openxmlformats.org/officeDocument/2006/relationships/hyperlink" Target="https://www.propertyfinder.sa/blog/&#1603;&#1605;&#1576;&#1608;&#1606;&#1583;&#1575;&#1578;-&#1575;&#1604;&#1582;&#1576;&#1585;-&#1605;&#1580;&#1605;&#1593;&#1575;&#1578;-&#1587;&#1603;&#1606;&#1610;&#1577;-&#1593;&#1575;&#1604;&#1605;&#1610;&#1577;-&#1593;&#1604;/" TargetMode="External"/><Relationship Id="rId39" Type="http://schemas.openxmlformats.org/officeDocument/2006/relationships/hyperlink" Target="https://www.propertyfinder.sa/blog/&#1603;&#1605;&#1576;&#1608;&#1606;&#1583;&#1575;&#1578;-&#1575;&#1604;&#1582;&#1576;&#1585;-&#1605;&#1580;&#1605;&#1593;&#1575;&#1578;-&#1587;&#1603;&#1606;&#1610;&#1577;-&#1593;&#1575;&#1604;&#1605;&#1610;&#1577;-&#1593;&#1604;/" TargetMode="External"/><Relationship Id="rId40" Type="http://schemas.openxmlformats.org/officeDocument/2006/relationships/hyperlink" Target="https://www.propertyfinder.sa/blog/&#1603;&#1605;&#1576;&#1608;&#1606;&#1583;&#1575;&#1578;-&#1575;&#1604;&#1582;&#1576;&#1585;-&#1605;&#1580;&#1605;&#1593;&#1575;&#1578;-&#1587;&#1603;&#1606;&#1610;&#1577;-&#1593;&#1575;&#1604;&#1605;&#1610;&#1577;-&#1593;&#1604;/" TargetMode="External"/><Relationship Id="rId41" Type="http://schemas.openxmlformats.org/officeDocument/2006/relationships/hyperlink" Target="https://www.propertyfinder.sa/blog/&#1603;&#1605;&#1576;&#1608;&#1606;&#1583;&#1575;&#1578;-&#1575;&#1604;&#1582;&#1576;&#1585;-&#1605;&#1580;&#1605;&#1593;&#1575;&#1578;-&#1587;&#1603;&#1606;&#1610;&#1577;-&#1593;&#1575;&#1604;&#1605;&#1610;&#1577;-&#1593;&#1604;/" TargetMode="External"/><Relationship Id="rId42" Type="http://schemas.openxmlformats.org/officeDocument/2006/relationships/hyperlink" Target="https://www.propertyfinder.sa/blog/&#1603;&#1605;&#1576;&#1608;&#1606;&#1583;&#1575;&#1578;-&#1575;&#1604;&#1582;&#1576;&#1585;-&#1605;&#1580;&#1605;&#1593;&#1575;&#1578;-&#1587;&#1603;&#1606;&#1610;&#1577;-&#1593;&#1575;&#1604;&#1605;&#1610;&#1577;-&#1593;&#1604;/" TargetMode="External"/><Relationship Id="rId43" Type="http://schemas.openxmlformats.org/officeDocument/2006/relationships/hyperlink" Target="https://www.propertyfinder.sa/blog/&#1603;&#1605;&#1576;&#1608;&#1606;&#1583;&#1575;&#1578;-&#1575;&#1604;&#1582;&#1576;&#1585;-&#1605;&#1580;&#1605;&#1593;&#1575;&#1578;-&#1587;&#1603;&#1606;&#1610;&#1577;-&#1593;&#1575;&#1604;&#1605;&#1610;&#1577;-&#1593;&#1604;/" TargetMode="External"/><Relationship Id="rId44" Type="http://schemas.openxmlformats.org/officeDocument/2006/relationships/hyperlink" Target="https://www.darwaemaar.com/" TargetMode="External"/><Relationship Id="rId45" Type="http://schemas.openxmlformats.org/officeDocument/2006/relationships/hyperlink" Target="https://www.darwaemaar.com/" TargetMode="External"/><Relationship Id="rId46" Type="http://schemas.openxmlformats.org/officeDocument/2006/relationships/hyperlink" Target="https://rightcompound.com/compounds/khobar/refad-compound" TargetMode="External"/><Relationship Id="rId47" Type="http://schemas.openxmlformats.org/officeDocument/2006/relationships/hyperlink" Target="https://rightcompound.com/compounds/khobar/palm-springs-compound" TargetMode="External"/><Relationship Id="rId48" Type="http://schemas.openxmlformats.org/officeDocument/2006/relationships/hyperlink" Target="https://rightcompound.com/compounds/khobar/dana-beach-resort" TargetMode="External"/><Relationship Id="rId49" Type="http://schemas.openxmlformats.org/officeDocument/2006/relationships/hyperlink" Target="https://rightcompound.com/compounds/khobar/green-park-lifestyle-residence-compound" TargetMode="External"/><Relationship Id="rId50" Type="http://schemas.openxmlformats.org/officeDocument/2006/relationships/hyperlink" Target="https://rightcompound.com/compounds/khobar/marissa-elite-compound-dhahran" TargetMode="External"/><Relationship Id="rId51" Type="http://schemas.openxmlformats.org/officeDocument/2006/relationships/hyperlink" Target="https://rightcompound.com/compounds/khobar/le-ruya" TargetMode="External"/><Relationship Id="rId52" Type="http://schemas.openxmlformats.org/officeDocument/2006/relationships/hyperlink" Target="https://rightcompound.com/compounds/khobar/south-park-compound" TargetMode="External"/><Relationship Id="rId53" Type="http://schemas.openxmlformats.org/officeDocument/2006/relationships/hyperlink" Target="https://rightcompound.com/compounds/khobar/loay-compound" TargetMode="External"/><Relationship Id="rId54" Type="http://schemas.openxmlformats.org/officeDocument/2006/relationships/hyperlink" Target="https://oasiscompounds.com/oasisgardens/contact/" TargetMode="External"/><Relationship Id="rId55" Type="http://schemas.openxmlformats.org/officeDocument/2006/relationships/hyperlink" Target="https://oasiscompounds.com/oasisgardens/contact/" TargetMode="External"/><Relationship Id="rId56" Type="http://schemas.openxmlformats.org/officeDocument/2006/relationships/hyperlink" Target="https://gardens.oasiscompounds.com/oasisresorts/contact/" TargetMode="External"/><Relationship Id="rId57" Type="http://schemas.openxmlformats.org/officeDocument/2006/relationships/hyperlink" Target="https://gardens.oasiscompounds.com/oasisresorts/contact/" TargetMode="External"/><Relationship Id="rId58" Type="http://schemas.openxmlformats.org/officeDocument/2006/relationships/hyperlink" Target="https://gardens.oasiscompounds.com/oasisresorts/contact/" TargetMode="External"/><Relationship Id="rId59" Type="http://schemas.openxmlformats.org/officeDocument/2006/relationships/hyperlink" Target="http://www.rondaco.com/" TargetMode="External"/><Relationship Id="rId60" Type="http://schemas.openxmlformats.org/officeDocument/2006/relationships/hyperlink" Target="http://www.rondaco.com/" TargetMode="External"/><Relationship Id="rId61" Type="http://schemas.openxmlformats.org/officeDocument/2006/relationships/hyperlink" Target="https://www.rimaresidence.com/" TargetMode="External"/><Relationship Id="rId62" Type="http://schemas.openxmlformats.org/officeDocument/2006/relationships/hyperlink" Target="https://www.rimaresidence.com/" TargetMode="External"/><Relationship Id="rId63" Type="http://schemas.openxmlformats.org/officeDocument/2006/relationships/hyperlink" Target="https://www.facebook.com/RimaResidence/" TargetMode="External"/><Relationship Id="rId64"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hyperlink" Target="https://www.expat.com/en/forum/middle-east/saudi-arabia/khobar/778968-list-of-some-compounds-in-al-khobar-ksa.html" TargetMode="External"/><Relationship Id="rId2" Type="http://schemas.openxmlformats.org/officeDocument/2006/relationships/hyperlink" Target="https://whichschooladvisor.com/saudi/area-guide/eastern-province/al-khobar" TargetMode="External"/><Relationship Id="rId3" Type="http://schemas.openxmlformats.org/officeDocument/2006/relationships/hyperlink" Target="https://www.propertyfinder.sa/blog/&#1603;&#1605;&#1576;&#1608;&#1606;&#1583;&#1575;&#1578;-&#1575;&#1604;&#1582;&#1576;&#1585;-&#1605;&#1580;&#1605;&#1593;&#1575;&#1578;-&#1587;&#1603;&#1606;&#1610;&#1577;-&#1593;&#1575;&#1604;&#1605;&#1610;&#1577;-&#1593;&#1604;/" TargetMode="External"/><Relationship Id="rId4" Type="http://schemas.openxmlformats.org/officeDocument/2006/relationships/hyperlink" Target="https://www.darwaemaar.com/" TargetMode="External"/><Relationship Id="rId5" Type="http://schemas.openxmlformats.org/officeDocument/2006/relationships/hyperlink" Target="https://rightcompound.com/compounds/khobar/canary-village" TargetMode="External"/><Relationship Id="rId6" Type="http://schemas.openxmlformats.org/officeDocument/2006/relationships/hyperlink" Target="https://www.canaryvillage.com/" TargetMode="External"/><Relationship Id="rId7" Type="http://schemas.openxmlformats.org/officeDocument/2006/relationships/hyperlink" Target="https://compoundin.com/compounds/khobar/canary-vista" TargetMode="External"/><Relationship Id="rId8" Type="http://schemas.openxmlformats.org/officeDocument/2006/relationships/hyperlink" Target="https://canary-vista.com/" TargetMode="External"/><Relationship Id="rId9" Type="http://schemas.openxmlformats.org/officeDocument/2006/relationships/hyperlink" Target="https://soulofsaudi.com/best-compounds-in-saudi-arabia-for-expats/" TargetMode="External"/><Relationship Id="rId10" Type="http://schemas.openxmlformats.org/officeDocument/2006/relationships/hyperlink" Target="https://www.eurovillage.sa/contact/" TargetMode="External"/><Relationship Id="rId11" Type="http://schemas.openxmlformats.org/officeDocument/2006/relationships/hyperlink" Target="https://www.lasdunas-sa.com/" TargetMode="External"/><Relationship Id="rId12" Type="http://schemas.openxmlformats.org/officeDocument/2006/relationships/hyperlink" Target="https://rightcompound.com/compounds/khobar/riviera-waterfront-village" TargetMode="External"/><Relationship Id="rId13" Type="http://schemas.openxmlformats.org/officeDocument/2006/relationships/hyperlink" Target="https://www.rivieracompound.com/" TargetMode="External"/><Relationship Id="rId14" Type="http://schemas.openxmlformats.org/officeDocument/2006/relationships/hyperlink" Target="https://rightcompound.com/compounds/khobar/mohamadia-compound" TargetMode="External"/><Relationship Id="rId15" Type="http://schemas.openxmlformats.org/officeDocument/2006/relationships/hyperlink" Target="https://www.al-othman.com/ar/al-mohamadia-compound" TargetMode="External"/><Relationship Id="rId16" Type="http://schemas.openxmlformats.org/officeDocument/2006/relationships/hyperlink" Target="https://rightcompound.com/compounds/khobar/zamil-village-residential-compound" TargetMode="External"/><Relationship Id="rId17" Type="http://schemas.openxmlformats.org/officeDocument/2006/relationships/hyperlink" Target="https://zamilrealestate.com/en" TargetMode="External"/><Relationship Id="rId18" Type="http://schemas.openxmlformats.org/officeDocument/2006/relationships/hyperlink" Target="https://rightcompound.com/compounds/khobar/al-wadi-village" TargetMode="External"/><Relationship Id="rId19" Type="http://schemas.openxmlformats.org/officeDocument/2006/relationships/hyperlink" Target="https://rightcompound.com/compounds/khobar/arabian-homes-al-khobar" TargetMode="External"/><Relationship Id="rId20" Type="http://schemas.openxmlformats.org/officeDocument/2006/relationships/hyperlink" Target="https://rightcompound.com/compounds/khobar/retal-residence" TargetMode="External"/><Relationship Id="rId21" Type="http://schemas.openxmlformats.org/officeDocument/2006/relationships/hyperlink" Target="https://compoundin.com/rent/listing/1/0/0-0" TargetMode="External"/><Relationship Id="rId22" Type="http://schemas.openxmlformats.org/officeDocument/2006/relationships/hyperlink" Target="https://www.retalresidence.com/" TargetMode="External"/><Relationship Id="rId23" Type="http://schemas.openxmlformats.org/officeDocument/2006/relationships/hyperlink" Target="https://www.grandvillage.com.sa/" TargetMode="External"/><Relationship Id="rId24" Type="http://schemas.openxmlformats.org/officeDocument/2006/relationships/hyperlink" Target="https://rightcompound.com/compounds/khobar/alef-compound" TargetMode="External"/><Relationship Id="rId25" Type="http://schemas.openxmlformats.org/officeDocument/2006/relationships/hyperlink" Target="https://alef-home.com/" TargetMode="External"/><Relationship Id="rId26" Type="http://schemas.openxmlformats.org/officeDocument/2006/relationships/hyperlink" Target="https://rightcompound.com/compounds/khobar/al-ansary-compound" TargetMode="External"/><Relationship Id="rId27" Type="http://schemas.openxmlformats.org/officeDocument/2006/relationships/hyperlink" Target="https://alansari.com.sa/contact-us/" TargetMode="External"/><Relationship Id="rId28" Type="http://schemas.openxmlformats.org/officeDocument/2006/relationships/hyperlink" Target="https://rightcompound.com/compounds/khobar/al-ansari-compound-two-al-khobar" TargetMode="External"/><Relationship Id="rId29" Type="http://schemas.openxmlformats.org/officeDocument/2006/relationships/hyperlink" Target="https://rightcompound.com/compounds/khobar/black-pearl-residential-compound" TargetMode="External"/><Relationship Id="rId30" Type="http://schemas.openxmlformats.org/officeDocument/2006/relationships/hyperlink" Target="https://www.aswadgroup.com/info/al-aswad-compound" TargetMode="External"/><Relationship Id="rId31" Type="http://schemas.openxmlformats.org/officeDocument/2006/relationships/hyperlink" Target="https://rightcompound.com/compounds/khobar/jzala-residential-compound-i" TargetMode="External"/><Relationship Id="rId32" Type="http://schemas.openxmlformats.org/officeDocument/2006/relationships/hyperlink" Target="https://rightcompound.com/compounds/khobar/alfares-compound" TargetMode="External"/><Relationship Id="rId33" Type="http://schemas.openxmlformats.org/officeDocument/2006/relationships/hyperlink" Target="https://rightcompound.com/compounds/khobar/sea-shore-compound" TargetMode="External"/><Relationship Id="rId34" Type="http://schemas.openxmlformats.org/officeDocument/2006/relationships/hyperlink" Target="https://rightcompound.com/compounds/khobar/saraya-al-olaya-residential-tower" TargetMode="External"/><Relationship Id="rId35" Type="http://schemas.openxmlformats.org/officeDocument/2006/relationships/hyperlink" Target="https://rightcompound.com/compounds/khobar/saraya-al-rawabi-complex" TargetMode="External"/><Relationship Id="rId36" Type="http://schemas.openxmlformats.org/officeDocument/2006/relationships/hyperlink" Target="https://rightcompound.com/compounds/khobar/refad-compound" TargetMode="External"/><Relationship Id="rId37" Type="http://schemas.openxmlformats.org/officeDocument/2006/relationships/hyperlink" Target="https://compoundin.com/compounds/khobar/refad-compound" TargetMode="External"/><Relationship Id="rId38" Type="http://schemas.openxmlformats.org/officeDocument/2006/relationships/hyperlink" Target="https://rightcompound.com/compounds/khobar/palm-springs-compound" TargetMode="External"/><Relationship Id="rId39" Type="http://schemas.openxmlformats.org/officeDocument/2006/relationships/hyperlink" Target="https://rightcompound.com/compounds/khobar/dana-beach-resort" TargetMode="External"/><Relationship Id="rId40" Type="http://schemas.openxmlformats.org/officeDocument/2006/relationships/hyperlink" Target="https://rightcompound.com/compounds/khobar/green-park-lifestyle-residence-compound" TargetMode="External"/><Relationship Id="rId41" Type="http://schemas.openxmlformats.org/officeDocument/2006/relationships/hyperlink" Target="https://rightcompound.com/compounds/khobar/marissa-elite-compound-dhahran" TargetMode="External"/><Relationship Id="rId42" Type="http://schemas.openxmlformats.org/officeDocument/2006/relationships/hyperlink" Target="https://rightcompound.com/compounds/khobar/le-ruya" TargetMode="External"/><Relationship Id="rId43" Type="http://schemas.openxmlformats.org/officeDocument/2006/relationships/hyperlink" Target="https://rightcompound.com/compounds/khobar/south-park-compound" TargetMode="External"/><Relationship Id="rId44" Type="http://schemas.openxmlformats.org/officeDocument/2006/relationships/hyperlink" Target="https://rightcompound.com/compounds/khobar/loay-compound" TargetMode="External"/><Relationship Id="rId45" Type="http://schemas.openxmlformats.org/officeDocument/2006/relationships/hyperlink" Target="https://rightcompound.com/compounds/khobar/al-riyadh-compound" TargetMode="External"/><Relationship Id="rId46" Type="http://schemas.openxmlformats.org/officeDocument/2006/relationships/hyperlink" Target="https://rightcompound.com/compounds/khobar/al-safa-homes-compound" TargetMode="External"/><Relationship Id="rId47" Type="http://schemas.openxmlformats.org/officeDocument/2006/relationships/hyperlink" Target="https://rightcompound.com/compounds/khobar/al-sharq-homes-compound" TargetMode="External"/><Relationship Id="rId48" Type="http://schemas.openxmlformats.org/officeDocument/2006/relationships/hyperlink" Target="https://rightcompound.com/compounds/khobar/al-yasmeen-homes-compound" TargetMode="External"/><Relationship Id="rId49" Type="http://schemas.openxmlformats.org/officeDocument/2006/relationships/hyperlink" Target="https://rightcompound.com/compounds/khobar/saeed-residential-compound-1" TargetMode="External"/><Relationship Id="rId50" Type="http://schemas.openxmlformats.org/officeDocument/2006/relationships/hyperlink" Target="https://rightcompound.com/compounds/khobar/al-shablan-compounds" TargetMode="External"/><Relationship Id="rId51" Type="http://schemas.openxmlformats.org/officeDocument/2006/relationships/hyperlink" Target="https://rightcompound.com/compounds/khobar/opal-compound" TargetMode="External"/><Relationship Id="rId52" Type="http://schemas.openxmlformats.org/officeDocument/2006/relationships/hyperlink" Target="https://rightcompound.com/compounds/khobar/sedar-village-compound" TargetMode="External"/><Relationship Id="rId53" Type="http://schemas.openxmlformats.org/officeDocument/2006/relationships/hyperlink" Target="https://rightcompound.com/compounds/khobar/karawan-compound" TargetMode="External"/><Relationship Id="rId54" Type="http://schemas.openxmlformats.org/officeDocument/2006/relationships/hyperlink" Target="https://rightcompound.com/compounds/khobar/gulf-pearl-compound-2" TargetMode="External"/><Relationship Id="rId55" Type="http://schemas.openxmlformats.org/officeDocument/2006/relationships/hyperlink" Target="https://rightcompound.com/compounds/khobar/jouri-homes" TargetMode="External"/><Relationship Id="rId56" Type="http://schemas.openxmlformats.org/officeDocument/2006/relationships/hyperlink" Target="https://rightcompound.com/compounds/khobar/al-rashid-residence-towers" TargetMode="External"/><Relationship Id="rId57" Type="http://schemas.openxmlformats.org/officeDocument/2006/relationships/hyperlink" Target="https://compoundin.com/compounds/khobar/al-rashid-residence-towers" TargetMode="External"/><Relationship Id="rId58" Type="http://schemas.openxmlformats.org/officeDocument/2006/relationships/hyperlink" Target="https://rightcompound.com/compounds/khobar/alrashid-residence" TargetMode="External"/><Relationship Id="rId59" Type="http://schemas.openxmlformats.org/officeDocument/2006/relationships/hyperlink" Target="https://rightcompound.com/compounds/khobar/oasis-gardens-compound-al-khobar" TargetMode="External"/><Relationship Id="rId60" Type="http://schemas.openxmlformats.org/officeDocument/2006/relationships/hyperlink" Target="https://oasiscompounds.com/oasisgardens/contact/" TargetMode="External"/><Relationship Id="rId61" Type="http://schemas.openxmlformats.org/officeDocument/2006/relationships/hyperlink" Target="https://rightcompound.com/compounds/khobar/oasis-resorts" TargetMode="External"/><Relationship Id="rId62" Type="http://schemas.openxmlformats.org/officeDocument/2006/relationships/hyperlink" Target="https://gardens.oasiscompounds.com/oasisresorts/contact/" TargetMode="External"/><Relationship Id="rId63" Type="http://schemas.openxmlformats.org/officeDocument/2006/relationships/hyperlink" Target="https://www.expat.com/en/forum/middle-east/saudi-arabia/khobar/870355-al-bustan-compound-or-oasis-garden-in-al-khobar-eastern-province.html" TargetMode="External"/><Relationship Id="rId64" Type="http://schemas.openxmlformats.org/officeDocument/2006/relationships/hyperlink" Target="https://rightcompound.com/compounds/khobar/dana--nada-compounds" TargetMode="External"/><Relationship Id="rId65" Type="http://schemas.openxmlformats.org/officeDocument/2006/relationships/hyperlink" Target="https://compoundin.com/compounds/khobar/al-danah-al-nadah-compounds" TargetMode="External"/><Relationship Id="rId66" Type="http://schemas.openxmlformats.org/officeDocument/2006/relationships/hyperlink" Target="https://rightcompound.com/compounds/khobar/desert-rose-compound-al-khobar" TargetMode="External"/><Relationship Id="rId67" Type="http://schemas.openxmlformats.org/officeDocument/2006/relationships/hyperlink" Target="https://rightcompound.com/compounds/khobar/desert-rose-apartments-compound" TargetMode="External"/><Relationship Id="rId68" Type="http://schemas.openxmlformats.org/officeDocument/2006/relationships/hyperlink" Target="https://rightcompound.com/compounds/khobar/the-pearl-residential-compound" TargetMode="External"/><Relationship Id="rId69" Type="http://schemas.openxmlformats.org/officeDocument/2006/relationships/hyperlink" Target="https://rightcompound.com/compounds/khobar/ronda-residence-compound" TargetMode="External"/><Relationship Id="rId70" Type="http://schemas.openxmlformats.org/officeDocument/2006/relationships/hyperlink" Target="https://compoundin.com/compounds/khobar/ronda-residence" TargetMode="External"/><Relationship Id="rId71" Type="http://schemas.openxmlformats.org/officeDocument/2006/relationships/hyperlink" Target="http://www.rondaco.com/" TargetMode="External"/><Relationship Id="rId72" Type="http://schemas.openxmlformats.org/officeDocument/2006/relationships/hyperlink" Target="https://rightcompound.com/compounds/khobar/rima-residence" TargetMode="External"/><Relationship Id="rId73" Type="http://schemas.openxmlformats.org/officeDocument/2006/relationships/hyperlink" Target="https://www.saudiayp.com/company/247717/Rima_Residence" TargetMode="External"/><Relationship Id="rId74" Type="http://schemas.openxmlformats.org/officeDocument/2006/relationships/hyperlink" Target="https://www.rimaresidence.com/" TargetMode="External"/><Relationship Id="rId75" Type="http://schemas.openxmlformats.org/officeDocument/2006/relationships/hyperlink" Target="https://www.facebook.com/RimaResidence/" TargetMode="External"/><Relationship Id="rId76" Type="http://schemas.openxmlformats.org/officeDocument/2006/relationships/hyperlink" Target="https://rightcompound.com/compounds/khobar/al-rawabi-pearl-complex" TargetMode="External"/><Relationship Id="rId77" Type="http://schemas.openxmlformats.org/officeDocument/2006/relationships/hyperlink" Target="https://compoundin.com/compounds/khobar/rawabi-pearl-compound" TargetMode="External"/><Relationship Id="rId78" Type="http://schemas.openxmlformats.org/officeDocument/2006/relationships/hyperlink" Target="https://rightcompound.com/compounds/khobar/gulf-homes-compound" TargetMode="External"/><Relationship Id="rId79" Type="http://schemas.openxmlformats.org/officeDocument/2006/relationships/hyperlink" Target="https://rightcompound.com/compounds/khobar/the-vertical-village-compound" TargetMode="External"/><Relationship Id="rId80" Type="http://schemas.openxmlformats.org/officeDocument/2006/relationships/hyperlink" Target="https://rightcompound.com/compounds/khobar/al-ferdouse" TargetMode="External"/><Relationship Id="rId81" Type="http://schemas.openxmlformats.org/officeDocument/2006/relationships/hyperlink" Target="https://rightcompound.com/compounds/khobar/durrat-al-khaleej-compound" TargetMode="External"/><Relationship Id="rId82" Type="http://schemas.openxmlformats.org/officeDocument/2006/relationships/hyperlink" Target="https://rightcompound.com/compounds/khobar/nouf-compound" TargetMode="External"/><Relationship Id="rId83" Type="http://schemas.openxmlformats.org/officeDocument/2006/relationships/hyperlink" Target="https://rightcompound.com/compounds/khobar/medo-park-compound-al-khobar" TargetMode="External"/><Relationship Id="rId84" Type="http://schemas.openxmlformats.org/officeDocument/2006/relationships/hyperlink" Target="https://rightcompound.com/compounds/khobar/nasamat-residential-complex" TargetMode="External"/><Relationship Id="rId85" Type="http://schemas.openxmlformats.org/officeDocument/2006/relationships/hyperlink" Target="https://rightcompound.com/compounds/khobar/al-nawras-residential-compound" TargetMode="External"/><Relationship Id="rId86" Type="http://schemas.openxmlformats.org/officeDocument/2006/relationships/hyperlink" Target="https://rightcompound.com/compounds/khobar/al-bilad-compound" TargetMode="External"/><Relationship Id="rId87" Type="http://schemas.openxmlformats.org/officeDocument/2006/relationships/hyperlink" Target="https://rightcompound.com/compounds/khobar/al-falak-compound" TargetMode="External"/><Relationship Id="rId88" Type="http://schemas.openxmlformats.org/officeDocument/2006/relationships/hyperlink" Target="https://rightcompound.com/compounds/khobar/al-khobar-views-complex" TargetMode="External"/><Relationship Id="rId89" Type="http://schemas.openxmlformats.org/officeDocument/2006/relationships/hyperlink" Target="https://rightcompound.com/compounds/khobar/alreemah-village" TargetMode="External"/><Relationship Id="rId90" Type="http://schemas.openxmlformats.org/officeDocument/2006/relationships/hyperlink" Target="https://rightcompound.com/compounds/khobar/azhar-residences-compound" TargetMode="External"/><Relationship Id="rId91" Type="http://schemas.openxmlformats.org/officeDocument/2006/relationships/hyperlink" Target="https://rightcompound.com/compounds/khobar/daar-residence-compound-al-khobar" TargetMode="External"/><Relationship Id="rId92" Type="http://schemas.openxmlformats.org/officeDocument/2006/relationships/hyperlink" Target="https://rightcompound.com/compounds/khobar/dewan-al-jazirah-compound" TargetMode="External"/><Relationship Id="rId93" Type="http://schemas.openxmlformats.org/officeDocument/2006/relationships/hyperlink" Target="https://rightcompound.com/compounds/khobar/jadawel-compound" TargetMode="External"/><Relationship Id="rId94" Type="http://schemas.openxmlformats.org/officeDocument/2006/relationships/hyperlink" Target="https://rightcompound.com/compounds/khobar/marbella-compound" TargetMode="External"/><Relationship Id="rId95" Type="http://schemas.openxmlformats.org/officeDocument/2006/relationships/hyperlink" Target="https://rightcompound.com/compounds/khobar/mira-mar-residential-compound" TargetMode="External"/><Relationship Id="rId96" Type="http://schemas.openxmlformats.org/officeDocument/2006/relationships/hyperlink" Target="https://rightcompound.com/compounds/khobar/sanus-compound" TargetMode="External"/><Relationship Id="rId97" Type="http://schemas.openxmlformats.org/officeDocument/2006/relationships/hyperlink" Target="https://rightcompound.com/compounds/khobar/shahla-residential-compound" TargetMode="External"/><Relationship Id="rId98" Type="http://schemas.openxmlformats.org/officeDocument/2006/relationships/hyperlink" Target="https://rightcompound.com/compounds/khobar/verona-villas" TargetMode="External"/><Relationship Id="rId99" Type="http://schemas.openxmlformats.org/officeDocument/2006/relationships/hyperlink" Target="https://rightcompound.com/compounds/khobar/residence-complex" TargetMode="External"/><Relationship Id="rId100" Type="http://schemas.openxmlformats.org/officeDocument/2006/relationships/hyperlink" Target="https://rightcompound.com/compounds/khobar/ajdan-rise-tower" TargetMode="External"/><Relationship Id="rId101" Type="http://schemas.openxmlformats.org/officeDocument/2006/relationships/hyperlink" Target="https://rightcompound.com/compounds/khobar/tanmia" TargetMode="External"/><Relationship Id="rId102" Type="http://schemas.openxmlformats.org/officeDocument/2006/relationships/hyperlink" Target="https://www.expat.com/en/forum/middle-east/saudi-arabia/khobar/1043703-sara-village-compound-bae-al-khobar.html" TargetMode="External"/><Relationship Id="rId103" Type="http://schemas.openxmlformats.org/officeDocument/2006/relationships/hyperlink" Target="https://compoundin.com/compounds/khobar/al-subeaei-towers" TargetMode="External"/><Relationship Id="rId104" Type="http://schemas.openxmlformats.org/officeDocument/2006/relationships/hyperlink" Target="https://ae.trip.com/hotels/al-khobar-hotel-detail-96255647/hy-compound-hy-compound" TargetMode="External"/><Relationship Id="rId105" Type="http://schemas.openxmlformats.org/officeDocument/2006/relationships/hyperlink" Target="https://rightcompound.com/compounds/khobar/staybridge-suites-al-khobar" TargetMode="External"/><Relationship Id="rId106" Type="http://schemas.openxmlformats.org/officeDocument/2006/relationships/hyperlink" Target="https://rightcompound.com/compounds/khobar/valencia-hotel-suites" TargetMode="External"/><Relationship Id="rId107" Type="http://schemas.openxmlformats.org/officeDocument/2006/relationships/hyperlink" Target="https://rightcompound.com/compounds/khobar/radisson-blu-residence" TargetMode="External"/><Relationship Id="rId108" Type="http://schemas.openxmlformats.org/officeDocument/2006/relationships/hyperlink" Target="https://rightcompound.com/compounds/khobar/business-quarter-al-khobar" TargetMode="External"/><Relationship Id="rId109" Type="http://schemas.openxmlformats.org/officeDocument/2006/relationships/hyperlink" Target="https://rightcompound.com/compounds/khobar/safa-khobar-residence" TargetMode="External"/><Relationship Id="rId110" Type="http://schemas.openxmlformats.org/officeDocument/2006/relationships/hyperlink" Target="https://rightcompound.com/compounds/khobar/compound-in-dammam" TargetMode="External"/><Relationship Id="rId111" Type="http://schemas.openxmlformats.org/officeDocument/2006/relationships/hyperlink" Target="https://www.es.kayak.com/Al-Khobar-Hoteles-Al-Haqel-Residential-Compound-Sudir-Palace-.3105306.ks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8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24"/>
    <col collapsed="false" customWidth="true" hidden="false" outlineLevel="0" max="6" min="6" style="0" width="30"/>
    <col collapsed="false" customWidth="true" hidden="false" outlineLevel="0" max="7" min="7" style="0" width="14"/>
    <col collapsed="false" customWidth="true" hidden="false" outlineLevel="0" max="9" min="8" style="0" width="11"/>
    <col collapsed="false" customWidth="true" hidden="false" outlineLevel="0" max="10" min="10" style="0" width="22"/>
    <col collapsed="false" customWidth="true" hidden="false" outlineLevel="0" max="11" min="11" style="0" width="20"/>
    <col collapsed="false" customWidth="true" hidden="false" outlineLevel="0" max="12" min="12" style="0" width="18"/>
    <col collapsed="false" customWidth="true" hidden="false" outlineLevel="0" max="14" min="13" style="0" width="8"/>
    <col collapsed="false" customWidth="true" hidden="false" outlineLevel="0" max="15" min="15" style="0" width="28"/>
    <col collapsed="false" customWidth="true" hidden="false" outlineLevel="0" max="16" min="16" style="0" width="32"/>
    <col collapsed="false" customWidth="true" hidden="false" outlineLevel="0" max="17" min="17" style="0" width="26"/>
    <col collapsed="false" customWidth="true" hidden="false" outlineLevel="0" max="20" min="18" style="0" width="16"/>
    <col collapsed="false" customWidth="true" hidden="false" outlineLevel="0" max="21" min="21" style="0" width="30"/>
    <col collapsed="false" customWidth="true" hidden="false" outlineLevel="0" max="25" min="22" style="0" width="22"/>
    <col collapsed="false" customWidth="true" hidden="false" outlineLevel="0" max="26" min="26" style="0" width="24"/>
    <col collapsed="false" customWidth="true" hidden="false" outlineLevel="0" max="27" min="27" style="0" width="20"/>
    <col collapsed="false" customWidth="true" hidden="false" outlineLevel="0" max="28" min="28" style="0" width="24"/>
    <col collapsed="false" customWidth="true" hidden="false" outlineLevel="0" max="30" min="29" style="0" width="22"/>
    <col collapsed="false" customWidth="true" hidden="false" outlineLevel="0" max="31" min="31" style="0" width="16"/>
    <col collapsed="false" customWidth="true" hidden="false" outlineLevel="0" max="32" min="32" style="0" width="30"/>
    <col collapsed="false" customWidth="true" hidden="false" outlineLevel="0" max="38" min="33" style="0" width="8"/>
    <col collapsed="false" customWidth="true" hidden="false" outlineLevel="0" max="40" min="39" style="0" width="9"/>
    <col collapsed="false" customWidth="true" hidden="false" outlineLevel="0" max="42" min="41" style="0" width="40"/>
    <col collapsed="false" customWidth="true" hidden="false" outlineLevel="0" max="43" min="43"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ustomFormat="false" ht="74.6" hidden="false" customHeight="false" outlineLevel="0" collapsed="false">
      <c r="A2" s="2" t="s">
        <v>43</v>
      </c>
      <c r="B2" s="2" t="s">
        <v>44</v>
      </c>
      <c r="C2" s="2"/>
      <c r="D2" s="2" t="s">
        <v>45</v>
      </c>
      <c r="E2" s="2"/>
      <c r="F2" s="2" t="s">
        <v>46</v>
      </c>
      <c r="G2" s="3" t="s">
        <v>47</v>
      </c>
      <c r="H2" s="2" t="n">
        <v>26.3492387013809</v>
      </c>
      <c r="I2" s="2" t="n">
        <v>50.1866734027863</v>
      </c>
      <c r="J2" s="2" t="s">
        <v>48</v>
      </c>
      <c r="K2" s="2" t="s">
        <v>49</v>
      </c>
      <c r="L2" s="2" t="s">
        <v>50</v>
      </c>
      <c r="M2" s="2"/>
      <c r="N2" s="2" t="n">
        <v>159</v>
      </c>
      <c r="O2" s="4" t="s">
        <v>51</v>
      </c>
      <c r="P2" s="4" t="s">
        <v>52</v>
      </c>
      <c r="Q2" s="3" t="s">
        <v>53</v>
      </c>
      <c r="R2" s="2" t="s">
        <v>54</v>
      </c>
      <c r="S2" s="2" t="s">
        <v>55</v>
      </c>
      <c r="T2" s="2"/>
      <c r="U2" s="2" t="s">
        <v>56</v>
      </c>
      <c r="V2" s="3" t="s">
        <v>57</v>
      </c>
      <c r="W2" s="3" t="s">
        <v>58</v>
      </c>
      <c r="X2" s="2"/>
      <c r="Y2" s="2" t="s">
        <v>59</v>
      </c>
      <c r="Z2" s="2" t="s">
        <v>60</v>
      </c>
      <c r="AA2" s="2"/>
      <c r="AB2" s="2"/>
      <c r="AC2" s="2" t="s">
        <v>61</v>
      </c>
      <c r="AD2" s="3" t="s">
        <v>62</v>
      </c>
      <c r="AE2" s="2" t="s">
        <v>63</v>
      </c>
      <c r="AF2" s="2" t="s">
        <v>64</v>
      </c>
      <c r="AG2" s="2" t="n">
        <v>15</v>
      </c>
      <c r="AH2" s="2" t="n">
        <v>8</v>
      </c>
      <c r="AI2" s="2" t="n">
        <v>6</v>
      </c>
      <c r="AJ2" s="2" t="n">
        <v>15</v>
      </c>
      <c r="AK2" s="2" t="n">
        <v>10</v>
      </c>
      <c r="AL2" s="2" t="n">
        <v>5</v>
      </c>
      <c r="AM2" s="5" t="n">
        <f aca="false">SUM(AG2:AL2)</f>
        <v>59</v>
      </c>
      <c r="AN2" s="5" t="str">
        <f aca="false">IF(AM2&gt;=80,"A",IF(AM2&gt;=60,"B","C"))</f>
        <v>C</v>
      </c>
      <c r="AO2" s="4"/>
      <c r="AP2" s="4" t="s">
        <v>65</v>
      </c>
      <c r="AQ2" s="2" t="s">
        <v>66</v>
      </c>
    </row>
    <row r="3" customFormat="false" ht="53.7" hidden="false" customHeight="false" outlineLevel="0" collapsed="false">
      <c r="A3" s="2" t="s">
        <v>67</v>
      </c>
      <c r="B3" s="2" t="s">
        <v>68</v>
      </c>
      <c r="C3" s="2"/>
      <c r="D3" s="2" t="s">
        <v>45</v>
      </c>
      <c r="E3" s="2" t="s">
        <v>69</v>
      </c>
      <c r="F3" s="2"/>
      <c r="G3" s="2"/>
      <c r="H3" s="2"/>
      <c r="I3" s="2"/>
      <c r="J3" s="2" t="s">
        <v>48</v>
      </c>
      <c r="K3" s="2" t="s">
        <v>49</v>
      </c>
      <c r="L3" s="2" t="s">
        <v>50</v>
      </c>
      <c r="M3" s="2"/>
      <c r="N3" s="2" t="n">
        <v>326</v>
      </c>
      <c r="O3" s="4" t="s">
        <v>70</v>
      </c>
      <c r="P3" s="4"/>
      <c r="Q3" s="3" t="s">
        <v>71</v>
      </c>
      <c r="R3" s="2" t="s">
        <v>72</v>
      </c>
      <c r="S3" s="2" t="s">
        <v>73</v>
      </c>
      <c r="T3" s="2"/>
      <c r="U3" s="2" t="s">
        <v>74</v>
      </c>
      <c r="V3" s="3" t="s">
        <v>75</v>
      </c>
      <c r="W3" s="3" t="s">
        <v>76</v>
      </c>
      <c r="X3" s="2"/>
      <c r="Y3" s="2"/>
      <c r="Z3" s="2"/>
      <c r="AA3" s="2"/>
      <c r="AB3" s="2"/>
      <c r="AC3" s="2" t="s">
        <v>77</v>
      </c>
      <c r="AD3" s="2"/>
      <c r="AE3" s="2" t="s">
        <v>63</v>
      </c>
      <c r="AF3" s="2" t="s">
        <v>64</v>
      </c>
      <c r="AG3" s="2" t="n">
        <v>20</v>
      </c>
      <c r="AH3" s="2" t="n">
        <v>8</v>
      </c>
      <c r="AI3" s="2" t="n">
        <v>6</v>
      </c>
      <c r="AJ3" s="2" t="n">
        <v>15</v>
      </c>
      <c r="AK3" s="2" t="n">
        <v>0</v>
      </c>
      <c r="AL3" s="2" t="n">
        <v>0</v>
      </c>
      <c r="AM3" s="5" t="n">
        <f aca="false">SUM(AG3:AL3)</f>
        <v>49</v>
      </c>
      <c r="AN3" s="5" t="str">
        <f aca="false">IF(AM3&gt;=80,"A",IF(AM3&gt;=60,"B","C"))</f>
        <v>C</v>
      </c>
      <c r="AO3" s="4" t="s">
        <v>78</v>
      </c>
      <c r="AP3" s="4" t="s">
        <v>79</v>
      </c>
      <c r="AQ3" s="2" t="s">
        <v>66</v>
      </c>
    </row>
    <row r="4" customFormat="false" ht="53.7" hidden="false" customHeight="false" outlineLevel="0" collapsed="false">
      <c r="A4" s="2" t="s">
        <v>80</v>
      </c>
      <c r="B4" s="2" t="s">
        <v>81</v>
      </c>
      <c r="C4" s="2"/>
      <c r="D4" s="2" t="s">
        <v>45</v>
      </c>
      <c r="E4" s="2" t="s">
        <v>82</v>
      </c>
      <c r="F4" s="2"/>
      <c r="G4" s="2"/>
      <c r="H4" s="2"/>
      <c r="I4" s="2"/>
      <c r="J4" s="2" t="s">
        <v>48</v>
      </c>
      <c r="K4" s="2" t="s">
        <v>49</v>
      </c>
      <c r="L4" s="2" t="s">
        <v>50</v>
      </c>
      <c r="M4" s="2"/>
      <c r="N4" s="2" t="n">
        <v>560</v>
      </c>
      <c r="O4" s="4" t="s">
        <v>70</v>
      </c>
      <c r="P4" s="4"/>
      <c r="Q4" s="3" t="s">
        <v>83</v>
      </c>
      <c r="R4" s="2" t="s">
        <v>84</v>
      </c>
      <c r="S4" s="2"/>
      <c r="T4" s="2"/>
      <c r="U4" s="2"/>
      <c r="V4" s="3" t="s">
        <v>85</v>
      </c>
      <c r="W4" s="3" t="s">
        <v>86</v>
      </c>
      <c r="X4" s="3" t="s">
        <v>87</v>
      </c>
      <c r="Y4" s="2"/>
      <c r="Z4" s="2"/>
      <c r="AA4" s="2"/>
      <c r="AB4" s="2"/>
      <c r="AC4" s="2" t="s">
        <v>77</v>
      </c>
      <c r="AD4" s="2"/>
      <c r="AE4" s="2" t="s">
        <v>63</v>
      </c>
      <c r="AF4" s="2" t="s">
        <v>88</v>
      </c>
      <c r="AG4" s="2" t="n">
        <v>20</v>
      </c>
      <c r="AH4" s="2" t="n">
        <v>8</v>
      </c>
      <c r="AI4" s="2" t="n">
        <v>0</v>
      </c>
      <c r="AJ4" s="2" t="n">
        <v>10</v>
      </c>
      <c r="AK4" s="2" t="n">
        <v>0</v>
      </c>
      <c r="AL4" s="2" t="n">
        <v>0</v>
      </c>
      <c r="AM4" s="5" t="n">
        <f aca="false">SUM(AG4:AL4)</f>
        <v>38</v>
      </c>
      <c r="AN4" s="5" t="str">
        <f aca="false">IF(AM4&gt;=80,"A",IF(AM4&gt;=60,"B","C"))</f>
        <v>C</v>
      </c>
      <c r="AO4" s="4" t="s">
        <v>89</v>
      </c>
      <c r="AP4" s="4" t="s">
        <v>90</v>
      </c>
      <c r="AQ4" s="2" t="s">
        <v>66</v>
      </c>
    </row>
    <row r="5" customFormat="false" ht="32.8" hidden="false" customHeight="false" outlineLevel="0" collapsed="false">
      <c r="A5" s="2" t="s">
        <v>91</v>
      </c>
      <c r="B5" s="2" t="s">
        <v>92</v>
      </c>
      <c r="C5" s="2"/>
      <c r="D5" s="2" t="s">
        <v>45</v>
      </c>
      <c r="E5" s="2" t="s">
        <v>93</v>
      </c>
      <c r="F5" s="2"/>
      <c r="G5" s="2"/>
      <c r="H5" s="2"/>
      <c r="I5" s="2"/>
      <c r="J5" s="2" t="s">
        <v>48</v>
      </c>
      <c r="K5" s="2" t="s">
        <v>49</v>
      </c>
      <c r="L5" s="2" t="s">
        <v>50</v>
      </c>
      <c r="M5" s="2"/>
      <c r="N5" s="2"/>
      <c r="O5" s="4"/>
      <c r="P5" s="4"/>
      <c r="Q5" s="3" t="s">
        <v>94</v>
      </c>
      <c r="R5" s="2"/>
      <c r="S5" s="2" t="s">
        <v>95</v>
      </c>
      <c r="T5" s="2"/>
      <c r="U5" s="2" t="s">
        <v>96</v>
      </c>
      <c r="V5" s="2"/>
      <c r="W5" s="2"/>
      <c r="X5" s="2"/>
      <c r="Y5" s="2"/>
      <c r="Z5" s="2"/>
      <c r="AA5" s="2"/>
      <c r="AB5" s="2"/>
      <c r="AC5" s="2" t="s">
        <v>77</v>
      </c>
      <c r="AD5" s="2"/>
      <c r="AE5" s="2" t="s">
        <v>63</v>
      </c>
      <c r="AF5" s="2" t="s">
        <v>97</v>
      </c>
      <c r="AG5" s="2" t="n">
        <v>0</v>
      </c>
      <c r="AH5" s="2" t="n">
        <v>8</v>
      </c>
      <c r="AI5" s="2" t="n">
        <v>6</v>
      </c>
      <c r="AJ5" s="2" t="n">
        <v>15</v>
      </c>
      <c r="AK5" s="2" t="n">
        <v>0</v>
      </c>
      <c r="AL5" s="2" t="n">
        <v>0</v>
      </c>
      <c r="AM5" s="5" t="n">
        <f aca="false">SUM(AG5:AL5)</f>
        <v>29</v>
      </c>
      <c r="AN5" s="5" t="str">
        <f aca="false">IF(AM5&gt;=80,"A",IF(AM5&gt;=60,"B","C"))</f>
        <v>C</v>
      </c>
      <c r="AO5" s="4"/>
      <c r="AP5" s="4" t="s">
        <v>98</v>
      </c>
      <c r="AQ5" s="2" t="s">
        <v>66</v>
      </c>
    </row>
    <row r="6" customFormat="false" ht="74.6" hidden="false" customHeight="false" outlineLevel="0" collapsed="false">
      <c r="A6" s="2" t="s">
        <v>99</v>
      </c>
      <c r="B6" s="2" t="s">
        <v>100</v>
      </c>
      <c r="C6" s="2" t="s">
        <v>101</v>
      </c>
      <c r="D6" s="2" t="s">
        <v>45</v>
      </c>
      <c r="E6" s="2" t="s">
        <v>102</v>
      </c>
      <c r="F6" s="2" t="s">
        <v>103</v>
      </c>
      <c r="G6" s="3" t="s">
        <v>47</v>
      </c>
      <c r="H6" s="2" t="n">
        <v>26.2002060465342</v>
      </c>
      <c r="I6" s="2" t="n">
        <v>50.2165583078384</v>
      </c>
      <c r="J6" s="2" t="s">
        <v>104</v>
      </c>
      <c r="K6" s="2" t="s">
        <v>49</v>
      </c>
      <c r="L6" s="2" t="s">
        <v>50</v>
      </c>
      <c r="M6" s="2"/>
      <c r="N6" s="2"/>
      <c r="O6" s="4" t="s">
        <v>105</v>
      </c>
      <c r="P6" s="4" t="s">
        <v>106</v>
      </c>
      <c r="Q6" s="3" t="s">
        <v>107</v>
      </c>
      <c r="R6" s="2" t="s">
        <v>108</v>
      </c>
      <c r="S6" s="2" t="s">
        <v>109</v>
      </c>
      <c r="T6" s="2"/>
      <c r="U6" s="2"/>
      <c r="V6" s="3" t="s">
        <v>110</v>
      </c>
      <c r="W6" s="3" t="s">
        <v>111</v>
      </c>
      <c r="X6" s="3" t="s">
        <v>112</v>
      </c>
      <c r="Y6" s="2" t="s">
        <v>113</v>
      </c>
      <c r="Z6" s="2"/>
      <c r="AA6" s="2"/>
      <c r="AB6" s="2"/>
      <c r="AC6" s="2" t="s">
        <v>77</v>
      </c>
      <c r="AD6" s="2"/>
      <c r="AE6" s="2" t="s">
        <v>63</v>
      </c>
      <c r="AF6" s="2" t="s">
        <v>64</v>
      </c>
      <c r="AG6" s="2" t="n">
        <v>0</v>
      </c>
      <c r="AH6" s="2" t="n">
        <v>8</v>
      </c>
      <c r="AI6" s="2" t="n">
        <v>6</v>
      </c>
      <c r="AJ6" s="2" t="n">
        <v>10</v>
      </c>
      <c r="AK6" s="2" t="n">
        <v>0</v>
      </c>
      <c r="AL6" s="2" t="n">
        <v>5</v>
      </c>
      <c r="AM6" s="5" t="n">
        <f aca="false">SUM(AG6:AL6)</f>
        <v>29</v>
      </c>
      <c r="AN6" s="5" t="str">
        <f aca="false">IF(AM6&gt;=80,"A",IF(AM6&gt;=60,"B","C"))</f>
        <v>C</v>
      </c>
      <c r="AO6" s="4"/>
      <c r="AP6" s="4" t="s">
        <v>114</v>
      </c>
      <c r="AQ6" s="2" t="s">
        <v>66</v>
      </c>
    </row>
    <row r="7" customFormat="false" ht="137.3" hidden="false" customHeight="false" outlineLevel="0" collapsed="false">
      <c r="A7" s="2" t="s">
        <v>115</v>
      </c>
      <c r="B7" s="2" t="s">
        <v>116</v>
      </c>
      <c r="C7" s="2" t="s">
        <v>117</v>
      </c>
      <c r="D7" s="2" t="s">
        <v>45</v>
      </c>
      <c r="E7" s="2" t="s">
        <v>118</v>
      </c>
      <c r="F7" s="2" t="s">
        <v>45</v>
      </c>
      <c r="G7" s="3" t="s">
        <v>47</v>
      </c>
      <c r="H7" s="2" t="n">
        <v>26.3664179421921</v>
      </c>
      <c r="I7" s="2" t="n">
        <v>50.2104377746582</v>
      </c>
      <c r="J7" s="2" t="s">
        <v>119</v>
      </c>
      <c r="K7" s="2" t="s">
        <v>49</v>
      </c>
      <c r="L7" s="2" t="s">
        <v>50</v>
      </c>
      <c r="M7" s="2"/>
      <c r="N7" s="2" t="n">
        <v>262</v>
      </c>
      <c r="O7" s="4" t="s">
        <v>120</v>
      </c>
      <c r="P7" s="4" t="s">
        <v>121</v>
      </c>
      <c r="Q7" s="3" t="s">
        <v>122</v>
      </c>
      <c r="R7" s="2" t="s">
        <v>123</v>
      </c>
      <c r="S7" s="2"/>
      <c r="T7" s="2"/>
      <c r="U7" s="2" t="s">
        <v>124</v>
      </c>
      <c r="V7" s="3" t="s">
        <v>125</v>
      </c>
      <c r="W7" s="3" t="s">
        <v>126</v>
      </c>
      <c r="X7" s="3" t="s">
        <v>127</v>
      </c>
      <c r="Y7" s="2"/>
      <c r="Z7" s="2" t="s">
        <v>128</v>
      </c>
      <c r="AA7" s="2"/>
      <c r="AB7" s="2" t="s">
        <v>128</v>
      </c>
      <c r="AC7" s="2" t="s">
        <v>61</v>
      </c>
      <c r="AD7" s="3" t="s">
        <v>129</v>
      </c>
      <c r="AE7" s="2" t="s">
        <v>63</v>
      </c>
      <c r="AF7" s="2" t="s">
        <v>64</v>
      </c>
      <c r="AG7" s="2" t="n">
        <v>20</v>
      </c>
      <c r="AH7" s="2" t="n">
        <v>8</v>
      </c>
      <c r="AI7" s="2" t="n">
        <v>6</v>
      </c>
      <c r="AJ7" s="2" t="n">
        <v>15</v>
      </c>
      <c r="AK7" s="2" t="n">
        <v>10</v>
      </c>
      <c r="AL7" s="2" t="n">
        <v>5</v>
      </c>
      <c r="AM7" s="5" t="n">
        <f aca="false">SUM(AG7:AL7)</f>
        <v>64</v>
      </c>
      <c r="AN7" s="5" t="str">
        <f aca="false">IF(AM7&gt;=80,"A",IF(AM7&gt;=60,"B","C"))</f>
        <v>B</v>
      </c>
      <c r="AO7" s="4" t="s">
        <v>130</v>
      </c>
      <c r="AP7" s="4" t="s">
        <v>131</v>
      </c>
      <c r="AQ7" s="2" t="s">
        <v>66</v>
      </c>
    </row>
    <row r="8" customFormat="false" ht="74.6" hidden="false" customHeight="false" outlineLevel="0" collapsed="false">
      <c r="A8" s="2" t="s">
        <v>132</v>
      </c>
      <c r="B8" s="2" t="s">
        <v>133</v>
      </c>
      <c r="C8" s="2"/>
      <c r="D8" s="2" t="s">
        <v>45</v>
      </c>
      <c r="E8" s="2" t="s">
        <v>134</v>
      </c>
      <c r="F8" s="2" t="s">
        <v>135</v>
      </c>
      <c r="G8" s="3" t="s">
        <v>47</v>
      </c>
      <c r="H8" s="2" t="n">
        <v>26.367622899546</v>
      </c>
      <c r="I8" s="2" t="n">
        <v>50.1739701931</v>
      </c>
      <c r="J8" s="2" t="s">
        <v>119</v>
      </c>
      <c r="K8" s="2" t="s">
        <v>49</v>
      </c>
      <c r="L8" s="2" t="s">
        <v>50</v>
      </c>
      <c r="M8" s="2"/>
      <c r="N8" s="2" t="n">
        <v>254</v>
      </c>
      <c r="O8" s="4" t="s">
        <v>136</v>
      </c>
      <c r="P8" s="4" t="s">
        <v>137</v>
      </c>
      <c r="Q8" s="3" t="s">
        <v>138</v>
      </c>
      <c r="R8" s="2" t="s">
        <v>139</v>
      </c>
      <c r="S8" s="2"/>
      <c r="T8" s="2" t="s">
        <v>139</v>
      </c>
      <c r="U8" s="2" t="s">
        <v>140</v>
      </c>
      <c r="V8" s="2"/>
      <c r="W8" s="2"/>
      <c r="X8" s="2"/>
      <c r="Y8" s="2" t="s">
        <v>141</v>
      </c>
      <c r="Z8" s="2" t="s">
        <v>142</v>
      </c>
      <c r="AA8" s="2"/>
      <c r="AB8" s="2" t="s">
        <v>142</v>
      </c>
      <c r="AC8" s="2" t="s">
        <v>143</v>
      </c>
      <c r="AD8" s="3" t="s">
        <v>144</v>
      </c>
      <c r="AE8" s="2" t="s">
        <v>63</v>
      </c>
      <c r="AF8" s="2" t="s">
        <v>145</v>
      </c>
      <c r="AG8" s="2" t="n">
        <v>20</v>
      </c>
      <c r="AH8" s="2" t="n">
        <v>8</v>
      </c>
      <c r="AI8" s="2" t="n">
        <v>6</v>
      </c>
      <c r="AJ8" s="2" t="n">
        <v>15</v>
      </c>
      <c r="AK8" s="2" t="n">
        <v>10</v>
      </c>
      <c r="AL8" s="2" t="n">
        <v>5</v>
      </c>
      <c r="AM8" s="5" t="n">
        <f aca="false">SUM(AG8:AL8)</f>
        <v>64</v>
      </c>
      <c r="AN8" s="5" t="str">
        <f aca="false">IF(AM8&gt;=80,"A",IF(AM8&gt;=60,"B","C"))</f>
        <v>B</v>
      </c>
      <c r="AO8" s="4"/>
      <c r="AP8" s="4" t="s">
        <v>146</v>
      </c>
      <c r="AQ8" s="2" t="s">
        <v>66</v>
      </c>
    </row>
    <row r="9" customFormat="false" ht="74.6" hidden="false" customHeight="false" outlineLevel="0" collapsed="false">
      <c r="A9" s="2" t="s">
        <v>147</v>
      </c>
      <c r="B9" s="2" t="s">
        <v>148</v>
      </c>
      <c r="C9" s="2"/>
      <c r="D9" s="2" t="s">
        <v>45</v>
      </c>
      <c r="E9" s="2" t="s">
        <v>149</v>
      </c>
      <c r="F9" s="2" t="s">
        <v>45</v>
      </c>
      <c r="G9" s="3" t="s">
        <v>47</v>
      </c>
      <c r="H9" s="2" t="n">
        <v>26.2491442058474</v>
      </c>
      <c r="I9" s="2" t="n">
        <v>50.1603767578125</v>
      </c>
      <c r="J9" s="2" t="s">
        <v>104</v>
      </c>
      <c r="K9" s="2" t="s">
        <v>49</v>
      </c>
      <c r="L9" s="2" t="s">
        <v>50</v>
      </c>
      <c r="M9" s="2"/>
      <c r="N9" s="2" t="n">
        <v>52</v>
      </c>
      <c r="O9" s="4" t="s">
        <v>150</v>
      </c>
      <c r="P9" s="4" t="s">
        <v>151</v>
      </c>
      <c r="Q9" s="2"/>
      <c r="R9" s="2"/>
      <c r="S9" s="2"/>
      <c r="T9" s="2"/>
      <c r="U9" s="2"/>
      <c r="V9" s="2"/>
      <c r="W9" s="2"/>
      <c r="X9" s="2"/>
      <c r="Y9" s="2"/>
      <c r="Z9" s="2"/>
      <c r="AA9" s="2"/>
      <c r="AB9" s="2"/>
      <c r="AC9" s="2" t="s">
        <v>152</v>
      </c>
      <c r="AD9" s="2"/>
      <c r="AE9" s="2" t="s">
        <v>153</v>
      </c>
      <c r="AF9" s="2" t="s">
        <v>154</v>
      </c>
      <c r="AG9" s="2" t="n">
        <v>10</v>
      </c>
      <c r="AH9" s="2" t="n">
        <v>8</v>
      </c>
      <c r="AI9" s="2" t="n">
        <v>20</v>
      </c>
      <c r="AJ9" s="2" t="n">
        <v>0</v>
      </c>
      <c r="AK9" s="2" t="n">
        <v>0</v>
      </c>
      <c r="AL9" s="2" t="n">
        <v>5</v>
      </c>
      <c r="AM9" s="5" t="n">
        <f aca="false">SUM(AG9:AL9)</f>
        <v>43</v>
      </c>
      <c r="AN9" s="5" t="str">
        <f aca="false">IF(AM9&gt;=80,"A",IF(AM9&gt;=60,"B","C"))</f>
        <v>C</v>
      </c>
      <c r="AO9" s="4" t="s">
        <v>155</v>
      </c>
      <c r="AP9" s="4" t="s">
        <v>156</v>
      </c>
      <c r="AQ9" s="2" t="s">
        <v>66</v>
      </c>
    </row>
    <row r="10" customFormat="false" ht="74.6" hidden="false" customHeight="false" outlineLevel="0" collapsed="false">
      <c r="A10" s="2" t="s">
        <v>157</v>
      </c>
      <c r="B10" s="2" t="s">
        <v>158</v>
      </c>
      <c r="C10" s="2"/>
      <c r="D10" s="2" t="s">
        <v>45</v>
      </c>
      <c r="E10" s="2" t="s">
        <v>149</v>
      </c>
      <c r="F10" s="2" t="s">
        <v>159</v>
      </c>
      <c r="G10" s="3" t="s">
        <v>47</v>
      </c>
      <c r="H10" s="2" t="n">
        <v>26.3360987604395</v>
      </c>
      <c r="I10" s="2" t="n">
        <v>50.1818129722595</v>
      </c>
      <c r="J10" s="2" t="s">
        <v>119</v>
      </c>
      <c r="K10" s="2" t="s">
        <v>49</v>
      </c>
      <c r="L10" s="2" t="s">
        <v>50</v>
      </c>
      <c r="M10" s="2" t="s">
        <v>160</v>
      </c>
      <c r="N10" s="2" t="n">
        <v>134</v>
      </c>
      <c r="O10" s="4" t="s">
        <v>161</v>
      </c>
      <c r="P10" s="4" t="s">
        <v>162</v>
      </c>
      <c r="Q10" s="2"/>
      <c r="R10" s="2"/>
      <c r="S10" s="2"/>
      <c r="T10" s="2"/>
      <c r="U10" s="2"/>
      <c r="V10" s="2"/>
      <c r="W10" s="2"/>
      <c r="X10" s="2"/>
      <c r="Y10" s="2"/>
      <c r="Z10" s="2"/>
      <c r="AA10" s="2"/>
      <c r="AB10" s="2"/>
      <c r="AC10" s="2" t="s">
        <v>152</v>
      </c>
      <c r="AD10" s="2"/>
      <c r="AE10" s="2" t="s">
        <v>153</v>
      </c>
      <c r="AF10" s="2" t="s">
        <v>154</v>
      </c>
      <c r="AG10" s="2" t="n">
        <v>15</v>
      </c>
      <c r="AH10" s="2" t="n">
        <v>8</v>
      </c>
      <c r="AI10" s="2" t="n">
        <v>20</v>
      </c>
      <c r="AJ10" s="2" t="n">
        <v>0</v>
      </c>
      <c r="AK10" s="2" t="n">
        <v>0</v>
      </c>
      <c r="AL10" s="2" t="n">
        <v>5</v>
      </c>
      <c r="AM10" s="5" t="n">
        <f aca="false">SUM(AG10:AL10)</f>
        <v>48</v>
      </c>
      <c r="AN10" s="5" t="str">
        <f aca="false">IF(AM10&gt;=80,"A",IF(AM10&gt;=60,"B","C"))</f>
        <v>C</v>
      </c>
      <c r="AO10" s="4" t="s">
        <v>163</v>
      </c>
      <c r="AP10" s="4" t="s">
        <v>164</v>
      </c>
      <c r="AQ10" s="2" t="s">
        <v>66</v>
      </c>
    </row>
    <row r="11" customFormat="false" ht="74.6" hidden="false" customHeight="false" outlineLevel="0" collapsed="false">
      <c r="A11" s="2" t="s">
        <v>165</v>
      </c>
      <c r="B11" s="2" t="s">
        <v>166</v>
      </c>
      <c r="C11" s="2"/>
      <c r="D11" s="2" t="s">
        <v>45</v>
      </c>
      <c r="E11" s="2" t="s">
        <v>167</v>
      </c>
      <c r="F11" s="2" t="s">
        <v>168</v>
      </c>
      <c r="G11" s="3" t="s">
        <v>47</v>
      </c>
      <c r="H11" s="2" t="n">
        <v>26.3773567214983</v>
      </c>
      <c r="I11" s="2" t="n">
        <v>50.2182912826538</v>
      </c>
      <c r="J11" s="2" t="s">
        <v>119</v>
      </c>
      <c r="K11" s="2" t="s">
        <v>49</v>
      </c>
      <c r="L11" s="2" t="s">
        <v>50</v>
      </c>
      <c r="M11" s="2"/>
      <c r="N11" s="2"/>
      <c r="O11" s="4"/>
      <c r="P11" s="4" t="s">
        <v>169</v>
      </c>
      <c r="Q11" s="3" t="s">
        <v>170</v>
      </c>
      <c r="R11" s="2" t="s">
        <v>171</v>
      </c>
      <c r="S11" s="2"/>
      <c r="T11" s="2" t="s">
        <v>172</v>
      </c>
      <c r="U11" s="2" t="s">
        <v>173</v>
      </c>
      <c r="V11" s="2"/>
      <c r="W11" s="2"/>
      <c r="X11" s="2"/>
      <c r="Y11" s="2"/>
      <c r="Z11" s="2"/>
      <c r="AA11" s="2"/>
      <c r="AB11" s="2"/>
      <c r="AC11" s="2" t="s">
        <v>77</v>
      </c>
      <c r="AD11" s="2"/>
      <c r="AE11" s="2" t="s">
        <v>63</v>
      </c>
      <c r="AF11" s="2" t="s">
        <v>97</v>
      </c>
      <c r="AG11" s="2" t="n">
        <v>0</v>
      </c>
      <c r="AH11" s="2" t="n">
        <v>8</v>
      </c>
      <c r="AI11" s="2" t="n">
        <v>12</v>
      </c>
      <c r="AJ11" s="2" t="n">
        <v>15</v>
      </c>
      <c r="AK11" s="2" t="n">
        <v>0</v>
      </c>
      <c r="AL11" s="2" t="n">
        <v>5</v>
      </c>
      <c r="AM11" s="5" t="n">
        <f aca="false">SUM(AG11:AL11)</f>
        <v>40</v>
      </c>
      <c r="AN11" s="5" t="str">
        <f aca="false">IF(AM11&gt;=80,"A",IF(AM11&gt;=60,"B","C"))</f>
        <v>C</v>
      </c>
      <c r="AO11" s="4"/>
      <c r="AP11" s="4" t="s">
        <v>174</v>
      </c>
      <c r="AQ11" s="2" t="s">
        <v>66</v>
      </c>
    </row>
    <row r="12" customFormat="false" ht="105.95" hidden="false" customHeight="false" outlineLevel="0" collapsed="false">
      <c r="A12" s="2" t="s">
        <v>175</v>
      </c>
      <c r="B12" s="2" t="s">
        <v>176</v>
      </c>
      <c r="C12" s="2" t="s">
        <v>177</v>
      </c>
      <c r="D12" s="2" t="s">
        <v>45</v>
      </c>
      <c r="E12" s="2" t="s">
        <v>178</v>
      </c>
      <c r="F12" s="2"/>
      <c r="G12" s="2"/>
      <c r="H12" s="2"/>
      <c r="I12" s="2"/>
      <c r="J12" s="2" t="s">
        <v>104</v>
      </c>
      <c r="K12" s="2" t="s">
        <v>49</v>
      </c>
      <c r="L12" s="2" t="s">
        <v>50</v>
      </c>
      <c r="M12" s="2"/>
      <c r="N12" s="2"/>
      <c r="O12" s="4" t="s">
        <v>179</v>
      </c>
      <c r="P12" s="4"/>
      <c r="Q12" s="3" t="s">
        <v>180</v>
      </c>
      <c r="R12" s="2"/>
      <c r="S12" s="2" t="s">
        <v>181</v>
      </c>
      <c r="T12" s="2"/>
      <c r="U12" s="2" t="s">
        <v>182</v>
      </c>
      <c r="V12" s="2"/>
      <c r="W12" s="2"/>
      <c r="X12" s="2"/>
      <c r="Y12" s="2"/>
      <c r="Z12" s="2"/>
      <c r="AA12" s="2"/>
      <c r="AB12" s="2"/>
      <c r="AC12" s="2" t="s">
        <v>77</v>
      </c>
      <c r="AD12" s="2"/>
      <c r="AE12" s="2" t="s">
        <v>183</v>
      </c>
      <c r="AF12" s="2" t="s">
        <v>97</v>
      </c>
      <c r="AG12" s="2" t="n">
        <v>0</v>
      </c>
      <c r="AH12" s="2" t="n">
        <v>8</v>
      </c>
      <c r="AI12" s="2" t="n">
        <v>12</v>
      </c>
      <c r="AJ12" s="2" t="n">
        <v>15</v>
      </c>
      <c r="AK12" s="2" t="n">
        <v>0</v>
      </c>
      <c r="AL12" s="2" t="n">
        <v>0</v>
      </c>
      <c r="AM12" s="5" t="n">
        <f aca="false">SUM(AG12:AL12)</f>
        <v>35</v>
      </c>
      <c r="AN12" s="5" t="str">
        <f aca="false">IF(AM12&gt;=80,"A",IF(AM12&gt;=60,"B","C"))</f>
        <v>C</v>
      </c>
      <c r="AO12" s="4"/>
      <c r="AP12" s="4" t="s">
        <v>184</v>
      </c>
      <c r="AQ12" s="2" t="s">
        <v>66</v>
      </c>
    </row>
    <row r="13" customFormat="false" ht="85.05" hidden="false" customHeight="false" outlineLevel="0" collapsed="false">
      <c r="A13" s="2" t="s">
        <v>185</v>
      </c>
      <c r="B13" s="2" t="s">
        <v>186</v>
      </c>
      <c r="C13" s="2"/>
      <c r="D13" s="2" t="s">
        <v>45</v>
      </c>
      <c r="E13" s="2" t="s">
        <v>187</v>
      </c>
      <c r="F13" s="2" t="s">
        <v>188</v>
      </c>
      <c r="G13" s="3" t="s">
        <v>47</v>
      </c>
      <c r="H13" s="2" t="n">
        <v>26.2003865436615</v>
      </c>
      <c r="I13" s="2" t="n">
        <v>50.2150079910279</v>
      </c>
      <c r="J13" s="2" t="s">
        <v>48</v>
      </c>
      <c r="K13" s="2" t="s">
        <v>49</v>
      </c>
      <c r="L13" s="2" t="s">
        <v>50</v>
      </c>
      <c r="M13" s="2"/>
      <c r="N13" s="2"/>
      <c r="O13" s="4"/>
      <c r="P13" s="4" t="s">
        <v>189</v>
      </c>
      <c r="Q13" s="3" t="s">
        <v>190</v>
      </c>
      <c r="R13" s="2"/>
      <c r="S13" s="2"/>
      <c r="T13" s="2"/>
      <c r="U13" s="2" t="s">
        <v>191</v>
      </c>
      <c r="V13" s="3" t="s">
        <v>192</v>
      </c>
      <c r="W13" s="3" t="s">
        <v>193</v>
      </c>
      <c r="X13" s="2"/>
      <c r="Y13" s="2" t="s">
        <v>194</v>
      </c>
      <c r="Z13" s="2"/>
      <c r="AA13" s="2"/>
      <c r="AB13" s="2"/>
      <c r="AC13" s="2" t="s">
        <v>77</v>
      </c>
      <c r="AD13" s="2"/>
      <c r="AE13" s="2" t="s">
        <v>63</v>
      </c>
      <c r="AF13" s="2" t="s">
        <v>64</v>
      </c>
      <c r="AG13" s="2" t="n">
        <v>0</v>
      </c>
      <c r="AH13" s="2" t="n">
        <v>8</v>
      </c>
      <c r="AI13" s="2" t="n">
        <v>6</v>
      </c>
      <c r="AJ13" s="2" t="n">
        <v>10</v>
      </c>
      <c r="AK13" s="2" t="n">
        <v>0</v>
      </c>
      <c r="AL13" s="2" t="n">
        <v>5</v>
      </c>
      <c r="AM13" s="5" t="n">
        <f aca="false">SUM(AG13:AL13)</f>
        <v>29</v>
      </c>
      <c r="AN13" s="5" t="str">
        <f aca="false">IF(AM13&gt;=80,"A",IF(AM13&gt;=60,"B","C"))</f>
        <v>C</v>
      </c>
      <c r="AO13" s="4"/>
      <c r="AP13" s="4" t="s">
        <v>195</v>
      </c>
      <c r="AQ13" s="2" t="s">
        <v>66</v>
      </c>
    </row>
    <row r="14" customFormat="false" ht="74.6" hidden="false" customHeight="false" outlineLevel="0" collapsed="false">
      <c r="A14" s="2" t="s">
        <v>196</v>
      </c>
      <c r="B14" s="2" t="s">
        <v>197</v>
      </c>
      <c r="C14" s="2"/>
      <c r="D14" s="2" t="s">
        <v>45</v>
      </c>
      <c r="E14" s="2"/>
      <c r="F14" s="2" t="s">
        <v>45</v>
      </c>
      <c r="G14" s="3" t="s">
        <v>47</v>
      </c>
      <c r="H14" s="2" t="n">
        <v>26.3381914958484</v>
      </c>
      <c r="I14" s="2" t="n">
        <v>50.1796674728394</v>
      </c>
      <c r="J14" s="2" t="s">
        <v>119</v>
      </c>
      <c r="K14" s="2" t="s">
        <v>49</v>
      </c>
      <c r="L14" s="2" t="s">
        <v>50</v>
      </c>
      <c r="M14" s="2"/>
      <c r="N14" s="2"/>
      <c r="O14" s="4"/>
      <c r="P14" s="4" t="s">
        <v>198</v>
      </c>
      <c r="Q14" s="3" t="s">
        <v>199</v>
      </c>
      <c r="R14" s="2" t="s">
        <v>200</v>
      </c>
      <c r="S14" s="2" t="s">
        <v>201</v>
      </c>
      <c r="T14" s="2"/>
      <c r="U14" s="2" t="s">
        <v>202</v>
      </c>
      <c r="V14" s="2"/>
      <c r="W14" s="2"/>
      <c r="X14" s="3" t="s">
        <v>203</v>
      </c>
      <c r="Y14" s="2"/>
      <c r="Z14" s="2" t="s">
        <v>204</v>
      </c>
      <c r="AA14" s="2"/>
      <c r="AB14" s="2" t="s">
        <v>205</v>
      </c>
      <c r="AC14" s="2" t="s">
        <v>152</v>
      </c>
      <c r="AD14" s="3" t="s">
        <v>206</v>
      </c>
      <c r="AE14" s="2" t="s">
        <v>207</v>
      </c>
      <c r="AF14" s="2" t="s">
        <v>145</v>
      </c>
      <c r="AG14" s="2" t="n">
        <v>0</v>
      </c>
      <c r="AH14" s="2" t="n">
        <v>8</v>
      </c>
      <c r="AI14" s="2" t="n">
        <v>6</v>
      </c>
      <c r="AJ14" s="2" t="n">
        <v>5</v>
      </c>
      <c r="AK14" s="2" t="n">
        <v>10</v>
      </c>
      <c r="AL14" s="2" t="n">
        <v>5</v>
      </c>
      <c r="AM14" s="5" t="n">
        <f aca="false">SUM(AG14:AL14)</f>
        <v>34</v>
      </c>
      <c r="AN14" s="5" t="str">
        <f aca="false">IF(AM14&gt;=80,"A",IF(AM14&gt;=60,"B","C"))</f>
        <v>C</v>
      </c>
      <c r="AO14" s="4" t="s">
        <v>208</v>
      </c>
      <c r="AP14" s="4" t="s">
        <v>209</v>
      </c>
      <c r="AQ14" s="2" t="s">
        <v>66</v>
      </c>
    </row>
    <row r="15" customFormat="false" ht="74.6" hidden="false" customHeight="false" outlineLevel="0" collapsed="false">
      <c r="A15" s="2" t="s">
        <v>210</v>
      </c>
      <c r="B15" s="2" t="s">
        <v>211</v>
      </c>
      <c r="C15" s="2"/>
      <c r="D15" s="2" t="s">
        <v>45</v>
      </c>
      <c r="E15" s="2" t="s">
        <v>212</v>
      </c>
      <c r="F15" s="2" t="s">
        <v>213</v>
      </c>
      <c r="G15" s="3" t="s">
        <v>47</v>
      </c>
      <c r="H15" s="2" t="n">
        <v>26.3247488262574</v>
      </c>
      <c r="I15" s="2" t="n">
        <v>50.1923489570618</v>
      </c>
      <c r="J15" s="2" t="s">
        <v>119</v>
      </c>
      <c r="K15" s="2" t="s">
        <v>49</v>
      </c>
      <c r="L15" s="2" t="s">
        <v>50</v>
      </c>
      <c r="M15" s="2"/>
      <c r="N15" s="2" t="n">
        <v>86</v>
      </c>
      <c r="O15" s="4" t="s">
        <v>214</v>
      </c>
      <c r="P15" s="4" t="s">
        <v>215</v>
      </c>
      <c r="Q15" s="3" t="s">
        <v>199</v>
      </c>
      <c r="R15" s="2"/>
      <c r="S15" s="2" t="s">
        <v>201</v>
      </c>
      <c r="T15" s="2"/>
      <c r="U15" s="2"/>
      <c r="V15" s="2"/>
      <c r="W15" s="2"/>
      <c r="X15" s="2"/>
      <c r="Y15" s="2"/>
      <c r="Z15" s="2"/>
      <c r="AA15" s="2"/>
      <c r="AB15" s="2" t="s">
        <v>205</v>
      </c>
      <c r="AC15" s="2" t="s">
        <v>152</v>
      </c>
      <c r="AD15" s="3" t="s">
        <v>216</v>
      </c>
      <c r="AE15" s="2" t="s">
        <v>207</v>
      </c>
      <c r="AF15" s="2" t="s">
        <v>217</v>
      </c>
      <c r="AG15" s="2" t="n">
        <v>10</v>
      </c>
      <c r="AH15" s="2" t="n">
        <v>8</v>
      </c>
      <c r="AI15" s="2" t="n">
        <v>12</v>
      </c>
      <c r="AJ15" s="2" t="n">
        <v>5</v>
      </c>
      <c r="AK15" s="2" t="n">
        <v>10</v>
      </c>
      <c r="AL15" s="2" t="n">
        <v>5</v>
      </c>
      <c r="AM15" s="5" t="n">
        <f aca="false">SUM(AG15:AL15)</f>
        <v>50</v>
      </c>
      <c r="AN15" s="5" t="str">
        <f aca="false">IF(AM15&gt;=80,"A",IF(AM15&gt;=60,"B","C"))</f>
        <v>C</v>
      </c>
      <c r="AO15" s="4"/>
      <c r="AP15" s="4" t="s">
        <v>218</v>
      </c>
      <c r="AQ15" s="2" t="s">
        <v>66</v>
      </c>
    </row>
    <row r="16" customFormat="false" ht="147.75" hidden="false" customHeight="false" outlineLevel="0" collapsed="false">
      <c r="A16" s="2" t="s">
        <v>219</v>
      </c>
      <c r="B16" s="2" t="s">
        <v>220</v>
      </c>
      <c r="C16" s="2" t="s">
        <v>221</v>
      </c>
      <c r="D16" s="2" t="s">
        <v>45</v>
      </c>
      <c r="E16" s="2" t="s">
        <v>222</v>
      </c>
      <c r="F16" s="2" t="s">
        <v>223</v>
      </c>
      <c r="G16" s="3" t="s">
        <v>47</v>
      </c>
      <c r="H16" s="2" t="n">
        <v>26.2052854360342</v>
      </c>
      <c r="I16" s="2" t="n">
        <v>50.1810466297673</v>
      </c>
      <c r="J16" s="2" t="s">
        <v>104</v>
      </c>
      <c r="K16" s="2" t="s">
        <v>49</v>
      </c>
      <c r="L16" s="2" t="s">
        <v>50</v>
      </c>
      <c r="M16" s="2"/>
      <c r="N16" s="2" t="n">
        <v>138</v>
      </c>
      <c r="O16" s="4" t="s">
        <v>224</v>
      </c>
      <c r="P16" s="4" t="s">
        <v>225</v>
      </c>
      <c r="Q16" s="3" t="s">
        <v>226</v>
      </c>
      <c r="R16" s="2" t="s">
        <v>227</v>
      </c>
      <c r="S16" s="2" t="s">
        <v>228</v>
      </c>
      <c r="T16" s="2"/>
      <c r="U16" s="2" t="s">
        <v>229</v>
      </c>
      <c r="V16" s="2"/>
      <c r="W16" s="2"/>
      <c r="X16" s="2"/>
      <c r="Y16" s="2"/>
      <c r="Z16" s="2" t="s">
        <v>230</v>
      </c>
      <c r="AA16" s="2"/>
      <c r="AB16" s="2"/>
      <c r="AC16" s="2" t="s">
        <v>61</v>
      </c>
      <c r="AD16" s="3" t="s">
        <v>226</v>
      </c>
      <c r="AE16" s="2" t="s">
        <v>63</v>
      </c>
      <c r="AF16" s="2" t="s">
        <v>97</v>
      </c>
      <c r="AG16" s="2" t="n">
        <v>15</v>
      </c>
      <c r="AH16" s="2" t="n">
        <v>8</v>
      </c>
      <c r="AI16" s="2" t="n">
        <v>12</v>
      </c>
      <c r="AJ16" s="2" t="n">
        <v>15</v>
      </c>
      <c r="AK16" s="2" t="n">
        <v>10</v>
      </c>
      <c r="AL16" s="2" t="n">
        <v>5</v>
      </c>
      <c r="AM16" s="5" t="n">
        <f aca="false">SUM(AG16:AL16)</f>
        <v>65</v>
      </c>
      <c r="AN16" s="5" t="str">
        <f aca="false">IF(AM16&gt;=80,"A",IF(AM16&gt;=60,"B","C"))</f>
        <v>B</v>
      </c>
      <c r="AO16" s="4"/>
      <c r="AP16" s="4" t="s">
        <v>231</v>
      </c>
      <c r="AQ16" s="2" t="s">
        <v>66</v>
      </c>
    </row>
    <row r="17" customFormat="false" ht="137.3" hidden="false" customHeight="false" outlineLevel="0" collapsed="false">
      <c r="A17" s="2" t="s">
        <v>232</v>
      </c>
      <c r="B17" s="2" t="s">
        <v>233</v>
      </c>
      <c r="C17" s="2" t="s">
        <v>234</v>
      </c>
      <c r="D17" s="2" t="s">
        <v>45</v>
      </c>
      <c r="E17" s="2" t="s">
        <v>235</v>
      </c>
      <c r="F17" s="2" t="s">
        <v>236</v>
      </c>
      <c r="G17" s="3" t="s">
        <v>47</v>
      </c>
      <c r="H17" s="2" t="n">
        <v>26.3356338549296</v>
      </c>
      <c r="I17" s="2" t="n">
        <v>50.1797103881836</v>
      </c>
      <c r="J17" s="2" t="s">
        <v>48</v>
      </c>
      <c r="K17" s="2" t="s">
        <v>49</v>
      </c>
      <c r="L17" s="2" t="s">
        <v>50</v>
      </c>
      <c r="M17" s="2"/>
      <c r="N17" s="2" t="n">
        <v>100</v>
      </c>
      <c r="O17" s="4" t="s">
        <v>237</v>
      </c>
      <c r="P17" s="4" t="s">
        <v>238</v>
      </c>
      <c r="Q17" s="2"/>
      <c r="R17" s="2"/>
      <c r="S17" s="2" t="s">
        <v>239</v>
      </c>
      <c r="T17" s="2"/>
      <c r="U17" s="2" t="s">
        <v>240</v>
      </c>
      <c r="V17" s="2"/>
      <c r="W17" s="2"/>
      <c r="X17" s="2"/>
      <c r="Y17" s="2"/>
      <c r="Z17" s="2"/>
      <c r="AA17" s="2"/>
      <c r="AB17" s="2"/>
      <c r="AC17" s="2" t="s">
        <v>77</v>
      </c>
      <c r="AD17" s="2"/>
      <c r="AE17" s="2" t="s">
        <v>183</v>
      </c>
      <c r="AF17" s="2" t="s">
        <v>241</v>
      </c>
      <c r="AG17" s="2" t="n">
        <v>15</v>
      </c>
      <c r="AH17" s="2" t="n">
        <v>8</v>
      </c>
      <c r="AI17" s="2" t="n">
        <v>20</v>
      </c>
      <c r="AJ17" s="2" t="n">
        <v>15</v>
      </c>
      <c r="AK17" s="2" t="n">
        <v>0</v>
      </c>
      <c r="AL17" s="2" t="n">
        <v>5</v>
      </c>
      <c r="AM17" s="5" t="n">
        <f aca="false">SUM(AG17:AL17)</f>
        <v>63</v>
      </c>
      <c r="AN17" s="5" t="str">
        <f aca="false">IF(AM17&gt;=80,"A",IF(AM17&gt;=60,"B","C"))</f>
        <v>B</v>
      </c>
      <c r="AO17" s="4" t="s">
        <v>242</v>
      </c>
      <c r="AP17" s="4" t="s">
        <v>243</v>
      </c>
      <c r="AQ17" s="2" t="s">
        <v>66</v>
      </c>
    </row>
    <row r="18" customFormat="false" ht="105.95" hidden="false" customHeight="false" outlineLevel="0" collapsed="false">
      <c r="A18" s="2" t="s">
        <v>244</v>
      </c>
      <c r="B18" s="2" t="s">
        <v>245</v>
      </c>
      <c r="C18" s="2" t="s">
        <v>246</v>
      </c>
      <c r="D18" s="2" t="s">
        <v>45</v>
      </c>
      <c r="E18" s="2" t="s">
        <v>247</v>
      </c>
      <c r="F18" s="2" t="s">
        <v>248</v>
      </c>
      <c r="G18" s="3" t="s">
        <v>47</v>
      </c>
      <c r="H18" s="2" t="n">
        <v>26.3271955148528</v>
      </c>
      <c r="I18" s="2" t="n">
        <v>50.2251524727471</v>
      </c>
      <c r="J18" s="2" t="s">
        <v>48</v>
      </c>
      <c r="K18" s="2" t="s">
        <v>49</v>
      </c>
      <c r="L18" s="2" t="s">
        <v>50</v>
      </c>
      <c r="M18" s="2"/>
      <c r="N18" s="2" t="n">
        <v>15</v>
      </c>
      <c r="O18" s="4" t="s">
        <v>249</v>
      </c>
      <c r="P18" s="4" t="s">
        <v>250</v>
      </c>
      <c r="Q18" s="2"/>
      <c r="R18" s="2"/>
      <c r="S18" s="2" t="s">
        <v>251</v>
      </c>
      <c r="T18" s="2"/>
      <c r="U18" s="2" t="s">
        <v>252</v>
      </c>
      <c r="V18" s="2"/>
      <c r="W18" s="2"/>
      <c r="X18" s="2"/>
      <c r="Y18" s="2"/>
      <c r="Z18" s="2"/>
      <c r="AA18" s="2"/>
      <c r="AB18" s="2"/>
      <c r="AC18" s="2" t="s">
        <v>77</v>
      </c>
      <c r="AD18" s="2"/>
      <c r="AE18" s="2" t="s">
        <v>207</v>
      </c>
      <c r="AF18" s="2" t="s">
        <v>241</v>
      </c>
      <c r="AG18" s="2" t="n">
        <v>5</v>
      </c>
      <c r="AH18" s="2" t="n">
        <v>8</v>
      </c>
      <c r="AI18" s="2" t="n">
        <v>20</v>
      </c>
      <c r="AJ18" s="2" t="n">
        <v>5</v>
      </c>
      <c r="AK18" s="2" t="n">
        <v>0</v>
      </c>
      <c r="AL18" s="2" t="n">
        <v>5</v>
      </c>
      <c r="AM18" s="5" t="n">
        <f aca="false">SUM(AG18:AL18)</f>
        <v>43</v>
      </c>
      <c r="AN18" s="5" t="str">
        <f aca="false">IF(AM18&gt;=80,"A",IF(AM18&gt;=60,"B","C"))</f>
        <v>C</v>
      </c>
      <c r="AO18" s="4" t="s">
        <v>253</v>
      </c>
      <c r="AP18" s="4" t="s">
        <v>254</v>
      </c>
      <c r="AQ18" s="2" t="s">
        <v>66</v>
      </c>
    </row>
    <row r="19" customFormat="false" ht="105.95" hidden="false" customHeight="false" outlineLevel="0" collapsed="false">
      <c r="A19" s="2" t="s">
        <v>255</v>
      </c>
      <c r="B19" s="2" t="s">
        <v>256</v>
      </c>
      <c r="C19" s="2" t="s">
        <v>257</v>
      </c>
      <c r="D19" s="2" t="s">
        <v>45</v>
      </c>
      <c r="E19" s="2" t="s">
        <v>258</v>
      </c>
      <c r="F19" s="2"/>
      <c r="G19" s="2"/>
      <c r="H19" s="2"/>
      <c r="I19" s="2"/>
      <c r="J19" s="2" t="s">
        <v>119</v>
      </c>
      <c r="K19" s="2" t="s">
        <v>49</v>
      </c>
      <c r="L19" s="2" t="s">
        <v>77</v>
      </c>
      <c r="M19" s="2"/>
      <c r="N19" s="2" t="n">
        <v>124</v>
      </c>
      <c r="O19" s="4" t="s">
        <v>259</v>
      </c>
      <c r="P19" s="4"/>
      <c r="Q19" s="2"/>
      <c r="R19" s="2" t="s">
        <v>260</v>
      </c>
      <c r="S19" s="2" t="s">
        <v>261</v>
      </c>
      <c r="T19" s="2"/>
      <c r="U19" s="2"/>
      <c r="V19" s="2"/>
      <c r="W19" s="2"/>
      <c r="X19" s="2"/>
      <c r="Y19" s="2"/>
      <c r="Z19" s="2"/>
      <c r="AA19" s="2"/>
      <c r="AB19" s="2"/>
      <c r="AC19" s="2" t="s">
        <v>77</v>
      </c>
      <c r="AD19" s="2"/>
      <c r="AE19" s="2" t="s">
        <v>207</v>
      </c>
      <c r="AF19" s="2" t="s">
        <v>241</v>
      </c>
      <c r="AG19" s="2" t="n">
        <v>15</v>
      </c>
      <c r="AH19" s="2" t="n">
        <v>8</v>
      </c>
      <c r="AI19" s="2" t="n">
        <v>20</v>
      </c>
      <c r="AJ19" s="2" t="n">
        <v>5</v>
      </c>
      <c r="AK19" s="2" t="n">
        <v>0</v>
      </c>
      <c r="AL19" s="2" t="n">
        <v>0</v>
      </c>
      <c r="AM19" s="5" t="n">
        <f aca="false">SUM(AG19:AL19)</f>
        <v>48</v>
      </c>
      <c r="AN19" s="5" t="str">
        <f aca="false">IF(AM19&gt;=80,"A",IF(AM19&gt;=60,"B","C"))</f>
        <v>C</v>
      </c>
      <c r="AO19" s="4"/>
      <c r="AP19" s="4" t="s">
        <v>262</v>
      </c>
      <c r="AQ19" s="2" t="s">
        <v>66</v>
      </c>
    </row>
    <row r="20" customFormat="false" ht="95.5" hidden="false" customHeight="false" outlineLevel="0" collapsed="false">
      <c r="A20" s="2" t="s">
        <v>263</v>
      </c>
      <c r="B20" s="2" t="s">
        <v>264</v>
      </c>
      <c r="C20" s="2" t="s">
        <v>265</v>
      </c>
      <c r="D20" s="2" t="s">
        <v>45</v>
      </c>
      <c r="E20" s="2" t="s">
        <v>266</v>
      </c>
      <c r="F20" s="2"/>
      <c r="G20" s="2"/>
      <c r="H20" s="2"/>
      <c r="I20" s="2"/>
      <c r="J20" s="2" t="s">
        <v>48</v>
      </c>
      <c r="K20" s="2" t="s">
        <v>49</v>
      </c>
      <c r="L20" s="2" t="s">
        <v>77</v>
      </c>
      <c r="M20" s="2"/>
      <c r="N20" s="2"/>
      <c r="O20" s="4" t="s">
        <v>70</v>
      </c>
      <c r="P20" s="4"/>
      <c r="Q20" s="2"/>
      <c r="R20" s="2" t="s">
        <v>267</v>
      </c>
      <c r="S20" s="2" t="s">
        <v>268</v>
      </c>
      <c r="T20" s="2"/>
      <c r="U20" s="2"/>
      <c r="V20" s="2"/>
      <c r="W20" s="2"/>
      <c r="X20" s="3" t="s">
        <v>269</v>
      </c>
      <c r="Y20" s="2"/>
      <c r="Z20" s="2" t="s">
        <v>270</v>
      </c>
      <c r="AA20" s="2"/>
      <c r="AB20" s="2"/>
      <c r="AC20" s="2" t="s">
        <v>61</v>
      </c>
      <c r="AD20" s="3" t="s">
        <v>271</v>
      </c>
      <c r="AE20" s="2" t="s">
        <v>207</v>
      </c>
      <c r="AF20" s="2" t="s">
        <v>272</v>
      </c>
      <c r="AG20" s="2" t="n">
        <v>0</v>
      </c>
      <c r="AH20" s="2" t="n">
        <v>8</v>
      </c>
      <c r="AI20" s="2" t="n">
        <v>14</v>
      </c>
      <c r="AJ20" s="2" t="n">
        <v>5</v>
      </c>
      <c r="AK20" s="2" t="n">
        <v>10</v>
      </c>
      <c r="AL20" s="2" t="n">
        <v>0</v>
      </c>
      <c r="AM20" s="5" t="n">
        <f aca="false">SUM(AG20:AL20)</f>
        <v>37</v>
      </c>
      <c r="AN20" s="5" t="str">
        <f aca="false">IF(AM20&gt;=80,"A",IF(AM20&gt;=60,"B","C"))</f>
        <v>C</v>
      </c>
      <c r="AO20" s="4"/>
      <c r="AP20" s="4" t="s">
        <v>271</v>
      </c>
      <c r="AQ20" s="2" t="s">
        <v>66</v>
      </c>
    </row>
    <row r="21" customFormat="false" ht="95.5" hidden="false" customHeight="false" outlineLevel="0" collapsed="false">
      <c r="A21" s="2" t="s">
        <v>273</v>
      </c>
      <c r="B21" s="2" t="s">
        <v>274</v>
      </c>
      <c r="C21" s="2" t="s">
        <v>275</v>
      </c>
      <c r="D21" s="2" t="s">
        <v>45</v>
      </c>
      <c r="E21" s="2" t="s">
        <v>276</v>
      </c>
      <c r="F21" s="2"/>
      <c r="G21" s="2"/>
      <c r="H21" s="2"/>
      <c r="I21" s="2"/>
      <c r="J21" s="2" t="s">
        <v>277</v>
      </c>
      <c r="K21" s="2" t="s">
        <v>49</v>
      </c>
      <c r="L21" s="2" t="s">
        <v>77</v>
      </c>
      <c r="M21" s="2"/>
      <c r="N21" s="2" t="n">
        <v>46</v>
      </c>
      <c r="O21" s="4" t="s">
        <v>278</v>
      </c>
      <c r="P21" s="4"/>
      <c r="Q21" s="2"/>
      <c r="R21" s="2"/>
      <c r="S21" s="2"/>
      <c r="T21" s="2"/>
      <c r="U21" s="2"/>
      <c r="V21" s="2"/>
      <c r="W21" s="2"/>
      <c r="X21" s="2"/>
      <c r="Y21" s="2"/>
      <c r="Z21" s="2"/>
      <c r="AA21" s="2"/>
      <c r="AB21" s="2"/>
      <c r="AC21" s="2" t="s">
        <v>77</v>
      </c>
      <c r="AD21" s="2"/>
      <c r="AE21" s="2" t="s">
        <v>153</v>
      </c>
      <c r="AF21" s="2" t="s">
        <v>241</v>
      </c>
      <c r="AG21" s="2" t="n">
        <v>5</v>
      </c>
      <c r="AH21" s="2" t="n">
        <v>8</v>
      </c>
      <c r="AI21" s="2" t="n">
        <v>20</v>
      </c>
      <c r="AJ21" s="2" t="n">
        <v>0</v>
      </c>
      <c r="AK21" s="2" t="n">
        <v>0</v>
      </c>
      <c r="AL21" s="2" t="n">
        <v>0</v>
      </c>
      <c r="AM21" s="5" t="n">
        <f aca="false">SUM(AG21:AL21)</f>
        <v>33</v>
      </c>
      <c r="AN21" s="5" t="str">
        <f aca="false">IF(AM21&gt;=80,"A",IF(AM21&gt;=60,"B","C"))</f>
        <v>C</v>
      </c>
      <c r="AO21" s="4"/>
      <c r="AP21" s="4" t="s">
        <v>271</v>
      </c>
      <c r="AQ21" s="2" t="s">
        <v>66</v>
      </c>
    </row>
    <row r="22" customFormat="false" ht="95.5" hidden="false" customHeight="false" outlineLevel="0" collapsed="false">
      <c r="A22" s="2" t="s">
        <v>279</v>
      </c>
      <c r="B22" s="2" t="s">
        <v>280</v>
      </c>
      <c r="C22" s="2" t="s">
        <v>281</v>
      </c>
      <c r="D22" s="2" t="s">
        <v>45</v>
      </c>
      <c r="E22" s="2" t="s">
        <v>282</v>
      </c>
      <c r="F22" s="2"/>
      <c r="G22" s="2"/>
      <c r="H22" s="2"/>
      <c r="I22" s="2"/>
      <c r="J22" s="2" t="s">
        <v>277</v>
      </c>
      <c r="K22" s="2" t="s">
        <v>49</v>
      </c>
      <c r="L22" s="2" t="s">
        <v>77</v>
      </c>
      <c r="M22" s="2"/>
      <c r="N22" s="2" t="n">
        <v>96</v>
      </c>
      <c r="O22" s="4" t="s">
        <v>283</v>
      </c>
      <c r="P22" s="4"/>
      <c r="Q22" s="2"/>
      <c r="R22" s="2" t="s">
        <v>284</v>
      </c>
      <c r="S22" s="2"/>
      <c r="T22" s="2"/>
      <c r="U22" s="2"/>
      <c r="V22" s="2"/>
      <c r="W22" s="2"/>
      <c r="X22" s="2"/>
      <c r="Y22" s="2"/>
      <c r="Z22" s="2"/>
      <c r="AA22" s="2" t="s">
        <v>285</v>
      </c>
      <c r="AB22" s="2"/>
      <c r="AC22" s="2" t="s">
        <v>143</v>
      </c>
      <c r="AD22" s="2"/>
      <c r="AE22" s="2" t="s">
        <v>207</v>
      </c>
      <c r="AF22" s="2" t="s">
        <v>154</v>
      </c>
      <c r="AG22" s="2" t="n">
        <v>10</v>
      </c>
      <c r="AH22" s="2" t="n">
        <v>8</v>
      </c>
      <c r="AI22" s="2" t="n">
        <v>20</v>
      </c>
      <c r="AJ22" s="2" t="n">
        <v>5</v>
      </c>
      <c r="AK22" s="2" t="n">
        <v>5</v>
      </c>
      <c r="AL22" s="2" t="n">
        <v>0</v>
      </c>
      <c r="AM22" s="5" t="n">
        <f aca="false">SUM(AG22:AL22)</f>
        <v>48</v>
      </c>
      <c r="AN22" s="5" t="str">
        <f aca="false">IF(AM22&gt;=80,"A",IF(AM22&gt;=60,"B","C"))</f>
        <v>C</v>
      </c>
      <c r="AO22" s="4" t="s">
        <v>286</v>
      </c>
      <c r="AP22" s="4" t="s">
        <v>271</v>
      </c>
      <c r="AQ22" s="2" t="s">
        <v>66</v>
      </c>
    </row>
    <row r="23" customFormat="false" ht="137.3" hidden="false" customHeight="false" outlineLevel="0" collapsed="false">
      <c r="A23" s="2" t="s">
        <v>287</v>
      </c>
      <c r="B23" s="2" t="s">
        <v>288</v>
      </c>
      <c r="C23" s="2" t="s">
        <v>289</v>
      </c>
      <c r="D23" s="2" t="s">
        <v>45</v>
      </c>
      <c r="E23" s="2"/>
      <c r="F23" s="2" t="s">
        <v>290</v>
      </c>
      <c r="G23" s="3" t="s">
        <v>47</v>
      </c>
      <c r="H23" s="2" t="n">
        <v>26.1661303992892</v>
      </c>
      <c r="I23" s="2" t="n">
        <v>50.1956531707764</v>
      </c>
      <c r="J23" s="2" t="s">
        <v>119</v>
      </c>
      <c r="K23" s="2" t="s">
        <v>49</v>
      </c>
      <c r="L23" s="2" t="s">
        <v>50</v>
      </c>
      <c r="M23" s="2"/>
      <c r="N23" s="2"/>
      <c r="O23" s="4" t="s">
        <v>291</v>
      </c>
      <c r="P23" s="4" t="s">
        <v>292</v>
      </c>
      <c r="Q23" s="3" t="s">
        <v>293</v>
      </c>
      <c r="R23" s="2"/>
      <c r="S23" s="2" t="s">
        <v>294</v>
      </c>
      <c r="T23" s="2"/>
      <c r="U23" s="2"/>
      <c r="V23" s="2"/>
      <c r="W23" s="2"/>
      <c r="X23" s="2"/>
      <c r="Y23" s="2"/>
      <c r="Z23" s="2"/>
      <c r="AA23" s="2"/>
      <c r="AB23" s="2"/>
      <c r="AC23" s="2" t="s">
        <v>77</v>
      </c>
      <c r="AD23" s="2"/>
      <c r="AE23" s="2" t="s">
        <v>207</v>
      </c>
      <c r="AF23" s="2" t="s">
        <v>97</v>
      </c>
      <c r="AG23" s="2" t="n">
        <v>0</v>
      </c>
      <c r="AH23" s="2" t="n">
        <v>8</v>
      </c>
      <c r="AI23" s="2" t="n">
        <v>12</v>
      </c>
      <c r="AJ23" s="2" t="n">
        <v>5</v>
      </c>
      <c r="AK23" s="2" t="n">
        <v>0</v>
      </c>
      <c r="AL23" s="2" t="n">
        <v>5</v>
      </c>
      <c r="AM23" s="5" t="n">
        <f aca="false">SUM(AG23:AL23)</f>
        <v>30</v>
      </c>
      <c r="AN23" s="5" t="str">
        <f aca="false">IF(AM23&gt;=80,"A",IF(AM23&gt;=60,"B","C"))</f>
        <v>C</v>
      </c>
      <c r="AO23" s="4" t="s">
        <v>295</v>
      </c>
      <c r="AP23" s="4" t="s">
        <v>296</v>
      </c>
      <c r="AQ23" s="2" t="s">
        <v>66</v>
      </c>
    </row>
    <row r="24" customFormat="false" ht="74.6" hidden="false" customHeight="false" outlineLevel="0" collapsed="false">
      <c r="A24" s="2" t="s">
        <v>297</v>
      </c>
      <c r="B24" s="2" t="s">
        <v>298</v>
      </c>
      <c r="C24" s="2"/>
      <c r="D24" s="2" t="s">
        <v>45</v>
      </c>
      <c r="E24" s="2"/>
      <c r="F24" s="2" t="s">
        <v>299</v>
      </c>
      <c r="G24" s="3" t="s">
        <v>47</v>
      </c>
      <c r="H24" s="2" t="n">
        <v>26.3006418728924</v>
      </c>
      <c r="I24" s="2" t="n">
        <v>50.1713630859375</v>
      </c>
      <c r="J24" s="2" t="s">
        <v>277</v>
      </c>
      <c r="K24" s="2" t="s">
        <v>49</v>
      </c>
      <c r="L24" s="2" t="s">
        <v>50</v>
      </c>
      <c r="M24" s="2"/>
      <c r="N24" s="2"/>
      <c r="O24" s="4"/>
      <c r="P24" s="4" t="s">
        <v>300</v>
      </c>
      <c r="Q24" s="3" t="s">
        <v>301</v>
      </c>
      <c r="R24" s="2" t="s">
        <v>302</v>
      </c>
      <c r="S24" s="2"/>
      <c r="T24" s="2" t="s">
        <v>302</v>
      </c>
      <c r="U24" s="2"/>
      <c r="V24" s="2"/>
      <c r="W24" s="2"/>
      <c r="X24" s="2"/>
      <c r="Y24" s="2"/>
      <c r="Z24" s="2"/>
      <c r="AA24" s="2" t="s">
        <v>303</v>
      </c>
      <c r="AB24" s="2" t="s">
        <v>303</v>
      </c>
      <c r="AC24" s="2" t="s">
        <v>143</v>
      </c>
      <c r="AD24" s="3" t="s">
        <v>304</v>
      </c>
      <c r="AE24" s="2" t="s">
        <v>63</v>
      </c>
      <c r="AF24" s="2" t="s">
        <v>217</v>
      </c>
      <c r="AG24" s="2" t="n">
        <v>0</v>
      </c>
      <c r="AH24" s="2" t="n">
        <v>8</v>
      </c>
      <c r="AI24" s="2" t="n">
        <v>12</v>
      </c>
      <c r="AJ24" s="2" t="n">
        <v>10</v>
      </c>
      <c r="AK24" s="2" t="n">
        <v>10</v>
      </c>
      <c r="AL24" s="2" t="n">
        <v>5</v>
      </c>
      <c r="AM24" s="5" t="n">
        <f aca="false">SUM(AG24:AL24)</f>
        <v>45</v>
      </c>
      <c r="AN24" s="5" t="str">
        <f aca="false">IF(AM24&gt;=80,"A",IF(AM24&gt;=60,"B","C"))</f>
        <v>C</v>
      </c>
      <c r="AO24" s="4"/>
      <c r="AP24" s="4" t="s">
        <v>305</v>
      </c>
      <c r="AQ24" s="2" t="s">
        <v>66</v>
      </c>
    </row>
    <row r="25" customFormat="false" ht="43.25" hidden="false" customHeight="false" outlineLevel="0" collapsed="false">
      <c r="A25" s="2" t="s">
        <v>306</v>
      </c>
      <c r="B25" s="2" t="s">
        <v>307</v>
      </c>
      <c r="C25" s="2"/>
      <c r="D25" s="2" t="s">
        <v>45</v>
      </c>
      <c r="E25" s="2"/>
      <c r="F25" s="2" t="s">
        <v>308</v>
      </c>
      <c r="G25" s="3" t="s">
        <v>47</v>
      </c>
      <c r="H25" s="2" t="n">
        <v>26.3270119840184</v>
      </c>
      <c r="I25" s="2" t="n">
        <v>50.2123150531769</v>
      </c>
      <c r="J25" s="2" t="s">
        <v>277</v>
      </c>
      <c r="K25" s="2" t="s">
        <v>49</v>
      </c>
      <c r="L25" s="2" t="s">
        <v>50</v>
      </c>
      <c r="M25" s="2"/>
      <c r="N25" s="2" t="n">
        <v>66</v>
      </c>
      <c r="O25" s="4"/>
      <c r="P25" s="4" t="s">
        <v>309</v>
      </c>
      <c r="Q25" s="3" t="s">
        <v>301</v>
      </c>
      <c r="R25" s="2" t="s">
        <v>302</v>
      </c>
      <c r="S25" s="2"/>
      <c r="T25" s="2" t="s">
        <v>302</v>
      </c>
      <c r="U25" s="2"/>
      <c r="V25" s="2"/>
      <c r="W25" s="2"/>
      <c r="X25" s="2"/>
      <c r="Y25" s="2"/>
      <c r="Z25" s="2"/>
      <c r="AA25" s="2" t="s">
        <v>303</v>
      </c>
      <c r="AB25" s="2" t="s">
        <v>303</v>
      </c>
      <c r="AC25" s="2" t="s">
        <v>143</v>
      </c>
      <c r="AD25" s="3" t="s">
        <v>310</v>
      </c>
      <c r="AE25" s="2" t="s">
        <v>63</v>
      </c>
      <c r="AF25" s="2" t="s">
        <v>217</v>
      </c>
      <c r="AG25" s="2" t="n">
        <v>10</v>
      </c>
      <c r="AH25" s="2" t="n">
        <v>8</v>
      </c>
      <c r="AI25" s="2" t="n">
        <v>12</v>
      </c>
      <c r="AJ25" s="2" t="n">
        <v>10</v>
      </c>
      <c r="AK25" s="2" t="n">
        <v>10</v>
      </c>
      <c r="AL25" s="2" t="n">
        <v>5</v>
      </c>
      <c r="AM25" s="5" t="n">
        <f aca="false">SUM(AG25:AL25)</f>
        <v>55</v>
      </c>
      <c r="AN25" s="5" t="str">
        <f aca="false">IF(AM25&gt;=80,"A",IF(AM25&gt;=60,"B","C"))</f>
        <v>C</v>
      </c>
      <c r="AO25" s="4"/>
      <c r="AP25" s="4" t="s">
        <v>311</v>
      </c>
      <c r="AQ25" s="2" t="s">
        <v>66</v>
      </c>
    </row>
    <row r="26" customFormat="false" ht="74.6" hidden="false" customHeight="false" outlineLevel="0" collapsed="false">
      <c r="A26" s="2" t="s">
        <v>312</v>
      </c>
      <c r="B26" s="2" t="s">
        <v>313</v>
      </c>
      <c r="C26" s="2"/>
      <c r="D26" s="2" t="s">
        <v>45</v>
      </c>
      <c r="E26" s="2"/>
      <c r="F26" s="2" t="s">
        <v>314</v>
      </c>
      <c r="G26" s="3" t="s">
        <v>47</v>
      </c>
      <c r="H26" s="2" t="n">
        <v>26.3046153658741</v>
      </c>
      <c r="I26" s="2" t="n">
        <v>50.191496014595</v>
      </c>
      <c r="J26" s="2" t="s">
        <v>119</v>
      </c>
      <c r="K26" s="2" t="s">
        <v>49</v>
      </c>
      <c r="L26" s="2" t="s">
        <v>50</v>
      </c>
      <c r="M26" s="2"/>
      <c r="N26" s="2" t="n">
        <v>100</v>
      </c>
      <c r="O26" s="4" t="s">
        <v>315</v>
      </c>
      <c r="P26" s="4" t="s">
        <v>316</v>
      </c>
      <c r="Q26" s="3" t="s">
        <v>317</v>
      </c>
      <c r="R26" s="2" t="s">
        <v>318</v>
      </c>
      <c r="S26" s="2"/>
      <c r="T26" s="2"/>
      <c r="U26" s="2"/>
      <c r="V26" s="2"/>
      <c r="W26" s="2"/>
      <c r="X26" s="2"/>
      <c r="Y26" s="2"/>
      <c r="Z26" s="2"/>
      <c r="AA26" s="2"/>
      <c r="AB26" s="2"/>
      <c r="AC26" s="2" t="s">
        <v>77</v>
      </c>
      <c r="AD26" s="2"/>
      <c r="AE26" s="2" t="s">
        <v>207</v>
      </c>
      <c r="AF26" s="2" t="s">
        <v>97</v>
      </c>
      <c r="AG26" s="2" t="n">
        <v>15</v>
      </c>
      <c r="AH26" s="2" t="n">
        <v>8</v>
      </c>
      <c r="AI26" s="2" t="n">
        <v>12</v>
      </c>
      <c r="AJ26" s="2" t="n">
        <v>5</v>
      </c>
      <c r="AK26" s="2" t="n">
        <v>0</v>
      </c>
      <c r="AL26" s="2" t="n">
        <v>5</v>
      </c>
      <c r="AM26" s="5" t="n">
        <f aca="false">SUM(AG26:AL26)</f>
        <v>45</v>
      </c>
      <c r="AN26" s="5" t="str">
        <f aca="false">IF(AM26&gt;=80,"A",IF(AM26&gt;=60,"B","C"))</f>
        <v>C</v>
      </c>
      <c r="AO26" s="4" t="s">
        <v>319</v>
      </c>
      <c r="AP26" s="4" t="s">
        <v>320</v>
      </c>
      <c r="AQ26" s="2" t="s">
        <v>66</v>
      </c>
    </row>
    <row r="27" customFormat="false" ht="74.6" hidden="false" customHeight="false" outlineLevel="0" collapsed="false">
      <c r="A27" s="2" t="s">
        <v>321</v>
      </c>
      <c r="B27" s="2" t="s">
        <v>322</v>
      </c>
      <c r="C27" s="2"/>
      <c r="D27" s="2" t="s">
        <v>45</v>
      </c>
      <c r="E27" s="2" t="s">
        <v>323</v>
      </c>
      <c r="F27" s="2" t="s">
        <v>324</v>
      </c>
      <c r="G27" s="3" t="s">
        <v>47</v>
      </c>
      <c r="H27" s="2" t="n">
        <v>26.3716567662235</v>
      </c>
      <c r="I27" s="2" t="n">
        <v>50.170419216156</v>
      </c>
      <c r="J27" s="2" t="s">
        <v>119</v>
      </c>
      <c r="K27" s="2" t="s">
        <v>49</v>
      </c>
      <c r="L27" s="2" t="s">
        <v>50</v>
      </c>
      <c r="M27" s="2"/>
      <c r="N27" s="2" t="n">
        <v>129</v>
      </c>
      <c r="O27" s="4" t="s">
        <v>325</v>
      </c>
      <c r="P27" s="4" t="s">
        <v>326</v>
      </c>
      <c r="Q27" s="2"/>
      <c r="R27" s="2"/>
      <c r="S27" s="2" t="s">
        <v>327</v>
      </c>
      <c r="T27" s="2"/>
      <c r="U27" s="2"/>
      <c r="V27" s="2"/>
      <c r="W27" s="2"/>
      <c r="X27" s="2"/>
      <c r="Y27" s="2"/>
      <c r="Z27" s="2" t="s">
        <v>328</v>
      </c>
      <c r="AA27" s="2"/>
      <c r="AB27" s="2"/>
      <c r="AC27" s="2" t="s">
        <v>61</v>
      </c>
      <c r="AD27" s="3" t="s">
        <v>329</v>
      </c>
      <c r="AE27" s="2" t="s">
        <v>207</v>
      </c>
      <c r="AF27" s="2" t="s">
        <v>241</v>
      </c>
      <c r="AG27" s="2" t="n">
        <v>15</v>
      </c>
      <c r="AH27" s="2" t="n">
        <v>8</v>
      </c>
      <c r="AI27" s="2" t="n">
        <v>20</v>
      </c>
      <c r="AJ27" s="2" t="n">
        <v>5</v>
      </c>
      <c r="AK27" s="2" t="n">
        <v>10</v>
      </c>
      <c r="AL27" s="2" t="n">
        <v>5</v>
      </c>
      <c r="AM27" s="5" t="n">
        <f aca="false">SUM(AG27:AL27)</f>
        <v>63</v>
      </c>
      <c r="AN27" s="5" t="str">
        <f aca="false">IF(AM27&gt;=80,"A",IF(AM27&gt;=60,"B","C"))</f>
        <v>B</v>
      </c>
      <c r="AO27" s="4"/>
      <c r="AP27" s="4" t="s">
        <v>330</v>
      </c>
      <c r="AQ27" s="2" t="s">
        <v>66</v>
      </c>
    </row>
    <row r="28" customFormat="false" ht="74.6" hidden="false" customHeight="false" outlineLevel="0" collapsed="false">
      <c r="A28" s="2" t="s">
        <v>331</v>
      </c>
      <c r="B28" s="2" t="s">
        <v>332</v>
      </c>
      <c r="C28" s="2"/>
      <c r="D28" s="2" t="s">
        <v>45</v>
      </c>
      <c r="E28" s="2" t="s">
        <v>333</v>
      </c>
      <c r="F28" s="2" t="s">
        <v>334</v>
      </c>
      <c r="G28" s="3" t="s">
        <v>47</v>
      </c>
      <c r="H28" s="2" t="n">
        <v>26.0804614080928</v>
      </c>
      <c r="I28" s="2" t="n">
        <v>49.9985894546895</v>
      </c>
      <c r="J28" s="2" t="s">
        <v>104</v>
      </c>
      <c r="K28" s="2" t="s">
        <v>49</v>
      </c>
      <c r="L28" s="2" t="s">
        <v>50</v>
      </c>
      <c r="M28" s="2"/>
      <c r="N28" s="2"/>
      <c r="O28" s="4"/>
      <c r="P28" s="4" t="s">
        <v>335</v>
      </c>
      <c r="Q28" s="2"/>
      <c r="R28" s="2"/>
      <c r="S28" s="2" t="s">
        <v>336</v>
      </c>
      <c r="T28" s="2"/>
      <c r="U28" s="2"/>
      <c r="V28" s="2"/>
      <c r="W28" s="2"/>
      <c r="X28" s="2"/>
      <c r="Y28" s="2"/>
      <c r="Z28" s="2"/>
      <c r="AA28" s="2"/>
      <c r="AB28" s="2"/>
      <c r="AC28" s="2" t="s">
        <v>77</v>
      </c>
      <c r="AD28" s="2"/>
      <c r="AE28" s="2" t="s">
        <v>207</v>
      </c>
      <c r="AF28" s="2" t="s">
        <v>241</v>
      </c>
      <c r="AG28" s="2" t="n">
        <v>0</v>
      </c>
      <c r="AH28" s="2" t="n">
        <v>8</v>
      </c>
      <c r="AI28" s="2" t="n">
        <v>20</v>
      </c>
      <c r="AJ28" s="2" t="n">
        <v>5</v>
      </c>
      <c r="AK28" s="2" t="n">
        <v>0</v>
      </c>
      <c r="AL28" s="2" t="n">
        <v>5</v>
      </c>
      <c r="AM28" s="5" t="n">
        <f aca="false">SUM(AG28:AL28)</f>
        <v>38</v>
      </c>
      <c r="AN28" s="5" t="str">
        <f aca="false">IF(AM28&gt;=80,"A",IF(AM28&gt;=60,"B","C"))</f>
        <v>C</v>
      </c>
      <c r="AO28" s="4"/>
      <c r="AP28" s="4" t="s">
        <v>337</v>
      </c>
      <c r="AQ28" s="2" t="s">
        <v>66</v>
      </c>
    </row>
    <row r="29" customFormat="false" ht="74.6" hidden="false" customHeight="false" outlineLevel="0" collapsed="false">
      <c r="A29" s="2" t="s">
        <v>338</v>
      </c>
      <c r="B29" s="2" t="s">
        <v>339</v>
      </c>
      <c r="C29" s="2"/>
      <c r="D29" s="2" t="s">
        <v>45</v>
      </c>
      <c r="E29" s="2" t="s">
        <v>340</v>
      </c>
      <c r="F29" s="2" t="s">
        <v>341</v>
      </c>
      <c r="G29" s="3" t="s">
        <v>47</v>
      </c>
      <c r="H29" s="2" t="n">
        <v>26.3259542176712</v>
      </c>
      <c r="I29" s="2" t="n">
        <v>50.1973161403656</v>
      </c>
      <c r="J29" s="2" t="s">
        <v>119</v>
      </c>
      <c r="K29" s="2" t="s">
        <v>49</v>
      </c>
      <c r="L29" s="2" t="s">
        <v>50</v>
      </c>
      <c r="M29" s="2"/>
      <c r="N29" s="2"/>
      <c r="O29" s="4"/>
      <c r="P29" s="4" t="s">
        <v>342</v>
      </c>
      <c r="Q29" s="2"/>
      <c r="R29" s="2"/>
      <c r="S29" s="2" t="s">
        <v>343</v>
      </c>
      <c r="T29" s="2"/>
      <c r="U29" s="2"/>
      <c r="V29" s="2"/>
      <c r="W29" s="2"/>
      <c r="X29" s="2"/>
      <c r="Y29" s="2"/>
      <c r="Z29" s="2"/>
      <c r="AA29" s="2"/>
      <c r="AB29" s="2"/>
      <c r="AC29" s="2" t="s">
        <v>77</v>
      </c>
      <c r="AD29" s="2"/>
      <c r="AE29" s="2" t="s">
        <v>207</v>
      </c>
      <c r="AF29" s="2" t="s">
        <v>241</v>
      </c>
      <c r="AG29" s="2" t="n">
        <v>0</v>
      </c>
      <c r="AH29" s="2" t="n">
        <v>8</v>
      </c>
      <c r="AI29" s="2" t="n">
        <v>20</v>
      </c>
      <c r="AJ29" s="2" t="n">
        <v>5</v>
      </c>
      <c r="AK29" s="2" t="n">
        <v>0</v>
      </c>
      <c r="AL29" s="2" t="n">
        <v>5</v>
      </c>
      <c r="AM29" s="5" t="n">
        <f aca="false">SUM(AG29:AL29)</f>
        <v>38</v>
      </c>
      <c r="AN29" s="5" t="str">
        <f aca="false">IF(AM29&gt;=80,"A",IF(AM29&gt;=60,"B","C"))</f>
        <v>C</v>
      </c>
      <c r="AO29" s="4"/>
      <c r="AP29" s="4" t="s">
        <v>344</v>
      </c>
      <c r="AQ29" s="2" t="s">
        <v>66</v>
      </c>
    </row>
    <row r="30" customFormat="false" ht="64.15" hidden="false" customHeight="false" outlineLevel="0" collapsed="false">
      <c r="A30" s="2" t="s">
        <v>345</v>
      </c>
      <c r="B30" s="2" t="s">
        <v>346</v>
      </c>
      <c r="C30" s="2"/>
      <c r="D30" s="2" t="s">
        <v>347</v>
      </c>
      <c r="E30" s="2" t="s">
        <v>348</v>
      </c>
      <c r="F30" s="2" t="s">
        <v>349</v>
      </c>
      <c r="G30" s="3" t="s">
        <v>47</v>
      </c>
      <c r="H30" s="2" t="n">
        <v>26.3425215752543</v>
      </c>
      <c r="I30" s="2" t="n">
        <v>50.151466459465</v>
      </c>
      <c r="J30" s="2" t="s">
        <v>119</v>
      </c>
      <c r="K30" s="2" t="s">
        <v>49</v>
      </c>
      <c r="L30" s="2" t="s">
        <v>50</v>
      </c>
      <c r="M30" s="2"/>
      <c r="N30" s="2"/>
      <c r="O30" s="4"/>
      <c r="P30" s="4" t="s">
        <v>350</v>
      </c>
      <c r="Q30" s="2"/>
      <c r="R30" s="2"/>
      <c r="S30" s="2" t="s">
        <v>351</v>
      </c>
      <c r="T30" s="2"/>
      <c r="U30" s="2"/>
      <c r="V30" s="2"/>
      <c r="W30" s="2"/>
      <c r="X30" s="2"/>
      <c r="Y30" s="2"/>
      <c r="Z30" s="2"/>
      <c r="AA30" s="2"/>
      <c r="AB30" s="2"/>
      <c r="AC30" s="2" t="s">
        <v>77</v>
      </c>
      <c r="AD30" s="2"/>
      <c r="AE30" s="2" t="s">
        <v>207</v>
      </c>
      <c r="AF30" s="2" t="s">
        <v>241</v>
      </c>
      <c r="AG30" s="2" t="n">
        <v>0</v>
      </c>
      <c r="AH30" s="2" t="n">
        <v>8</v>
      </c>
      <c r="AI30" s="2" t="n">
        <v>20</v>
      </c>
      <c r="AJ30" s="2" t="n">
        <v>5</v>
      </c>
      <c r="AK30" s="2" t="n">
        <v>0</v>
      </c>
      <c r="AL30" s="2" t="n">
        <v>5</v>
      </c>
      <c r="AM30" s="5" t="n">
        <f aca="false">SUM(AG30:AL30)</f>
        <v>38</v>
      </c>
      <c r="AN30" s="5" t="str">
        <f aca="false">IF(AM30&gt;=80,"A",IF(AM30&gt;=60,"B","C"))</f>
        <v>C</v>
      </c>
      <c r="AO30" s="4"/>
      <c r="AP30" s="4" t="s">
        <v>352</v>
      </c>
      <c r="AQ30" s="2" t="s">
        <v>66</v>
      </c>
    </row>
    <row r="31" customFormat="false" ht="74.6" hidden="false" customHeight="false" outlineLevel="0" collapsed="false">
      <c r="A31" s="2" t="s">
        <v>353</v>
      </c>
      <c r="B31" s="2" t="s">
        <v>354</v>
      </c>
      <c r="C31" s="2"/>
      <c r="D31" s="2" t="s">
        <v>45</v>
      </c>
      <c r="E31" s="2" t="s">
        <v>355</v>
      </c>
      <c r="F31" s="2" t="s">
        <v>356</v>
      </c>
      <c r="G31" s="3" t="s">
        <v>47</v>
      </c>
      <c r="H31" s="2" t="n">
        <v>26.1950499609729</v>
      </c>
      <c r="I31" s="2" t="n">
        <v>50.2156519889832</v>
      </c>
      <c r="J31" s="2" t="s">
        <v>357</v>
      </c>
      <c r="K31" s="2" t="s">
        <v>49</v>
      </c>
      <c r="L31" s="2" t="s">
        <v>50</v>
      </c>
      <c r="M31" s="2"/>
      <c r="N31" s="2"/>
      <c r="O31" s="4"/>
      <c r="P31" s="4" t="s">
        <v>358</v>
      </c>
      <c r="Q31" s="2"/>
      <c r="R31" s="2"/>
      <c r="S31" s="2" t="s">
        <v>359</v>
      </c>
      <c r="T31" s="2"/>
      <c r="U31" s="2"/>
      <c r="V31" s="2"/>
      <c r="W31" s="2"/>
      <c r="X31" s="2"/>
      <c r="Y31" s="2"/>
      <c r="Z31" s="2"/>
      <c r="AA31" s="2"/>
      <c r="AB31" s="2"/>
      <c r="AC31" s="2" t="s">
        <v>77</v>
      </c>
      <c r="AD31" s="2"/>
      <c r="AE31" s="2" t="s">
        <v>207</v>
      </c>
      <c r="AF31" s="2" t="s">
        <v>241</v>
      </c>
      <c r="AG31" s="2" t="n">
        <v>0</v>
      </c>
      <c r="AH31" s="2" t="n">
        <v>8</v>
      </c>
      <c r="AI31" s="2" t="n">
        <v>20</v>
      </c>
      <c r="AJ31" s="2" t="n">
        <v>5</v>
      </c>
      <c r="AK31" s="2" t="n">
        <v>0</v>
      </c>
      <c r="AL31" s="2" t="n">
        <v>5</v>
      </c>
      <c r="AM31" s="5" t="n">
        <f aca="false">SUM(AG31:AL31)</f>
        <v>38</v>
      </c>
      <c r="AN31" s="5" t="str">
        <f aca="false">IF(AM31&gt;=80,"A",IF(AM31&gt;=60,"B","C"))</f>
        <v>C</v>
      </c>
      <c r="AO31" s="4"/>
      <c r="AP31" s="4" t="s">
        <v>360</v>
      </c>
      <c r="AQ31" s="2" t="s">
        <v>66</v>
      </c>
    </row>
    <row r="32" customFormat="false" ht="43.25" hidden="false" customHeight="false" outlineLevel="0" collapsed="false">
      <c r="A32" s="2" t="s">
        <v>361</v>
      </c>
      <c r="B32" s="2" t="s">
        <v>362</v>
      </c>
      <c r="C32" s="2"/>
      <c r="D32" s="2" t="s">
        <v>347</v>
      </c>
      <c r="E32" s="2" t="s">
        <v>363</v>
      </c>
      <c r="F32" s="2" t="s">
        <v>364</v>
      </c>
      <c r="G32" s="3" t="s">
        <v>47</v>
      </c>
      <c r="H32" s="2" t="n">
        <v>26.3204687027865</v>
      </c>
      <c r="I32" s="2" t="n">
        <v>50.1551672373533</v>
      </c>
      <c r="J32" s="2" t="s">
        <v>119</v>
      </c>
      <c r="K32" s="2" t="s">
        <v>49</v>
      </c>
      <c r="L32" s="2" t="s">
        <v>50</v>
      </c>
      <c r="M32" s="2"/>
      <c r="N32" s="2"/>
      <c r="O32" s="4"/>
      <c r="P32" s="4" t="s">
        <v>365</v>
      </c>
      <c r="Q32" s="2"/>
      <c r="R32" s="2"/>
      <c r="S32" s="2" t="s">
        <v>366</v>
      </c>
      <c r="T32" s="2"/>
      <c r="U32" s="2"/>
      <c r="V32" s="2"/>
      <c r="W32" s="2"/>
      <c r="X32" s="2"/>
      <c r="Y32" s="2"/>
      <c r="Z32" s="2"/>
      <c r="AA32" s="2"/>
      <c r="AB32" s="2"/>
      <c r="AC32" s="2" t="s">
        <v>77</v>
      </c>
      <c r="AD32" s="2"/>
      <c r="AE32" s="2" t="s">
        <v>207</v>
      </c>
      <c r="AF32" s="2" t="s">
        <v>241</v>
      </c>
      <c r="AG32" s="2" t="n">
        <v>0</v>
      </c>
      <c r="AH32" s="2" t="n">
        <v>8</v>
      </c>
      <c r="AI32" s="2" t="n">
        <v>20</v>
      </c>
      <c r="AJ32" s="2" t="n">
        <v>5</v>
      </c>
      <c r="AK32" s="2" t="n">
        <v>0</v>
      </c>
      <c r="AL32" s="2" t="n">
        <v>5</v>
      </c>
      <c r="AM32" s="5" t="n">
        <f aca="false">SUM(AG32:AL32)</f>
        <v>38</v>
      </c>
      <c r="AN32" s="5" t="str">
        <f aca="false">IF(AM32&gt;=80,"A",IF(AM32&gt;=60,"B","C"))</f>
        <v>C</v>
      </c>
      <c r="AO32" s="4"/>
      <c r="AP32" s="4" t="s">
        <v>367</v>
      </c>
      <c r="AQ32" s="2" t="s">
        <v>66</v>
      </c>
    </row>
    <row r="33" customFormat="false" ht="22.35" hidden="false" customHeight="false" outlineLevel="0" collapsed="false">
      <c r="A33" s="2" t="s">
        <v>368</v>
      </c>
      <c r="B33" s="2" t="s">
        <v>369</v>
      </c>
      <c r="C33" s="2"/>
      <c r="D33" s="2" t="s">
        <v>45</v>
      </c>
      <c r="E33" s="2"/>
      <c r="F33" s="2" t="s">
        <v>45</v>
      </c>
      <c r="G33" s="3" t="s">
        <v>47</v>
      </c>
      <c r="H33" s="2" t="n">
        <v>26.2958773914876</v>
      </c>
      <c r="I33" s="2" t="n">
        <v>50.1100158691406</v>
      </c>
      <c r="J33" s="2" t="s">
        <v>119</v>
      </c>
      <c r="K33" s="2" t="s">
        <v>49</v>
      </c>
      <c r="L33" s="2" t="s">
        <v>50</v>
      </c>
      <c r="M33" s="2"/>
      <c r="N33" s="2"/>
      <c r="O33" s="4"/>
      <c r="P33" s="4" t="s">
        <v>370</v>
      </c>
      <c r="Q33" s="2"/>
      <c r="R33" s="2"/>
      <c r="S33" s="2" t="s">
        <v>371</v>
      </c>
      <c r="T33" s="2"/>
      <c r="U33" s="2"/>
      <c r="V33" s="2"/>
      <c r="W33" s="2"/>
      <c r="X33" s="2"/>
      <c r="Y33" s="2"/>
      <c r="Z33" s="2"/>
      <c r="AA33" s="2"/>
      <c r="AB33" s="2"/>
      <c r="AC33" s="2" t="s">
        <v>77</v>
      </c>
      <c r="AD33" s="2"/>
      <c r="AE33" s="2" t="s">
        <v>207</v>
      </c>
      <c r="AF33" s="2" t="s">
        <v>241</v>
      </c>
      <c r="AG33" s="2" t="n">
        <v>0</v>
      </c>
      <c r="AH33" s="2" t="n">
        <v>8</v>
      </c>
      <c r="AI33" s="2" t="n">
        <v>20</v>
      </c>
      <c r="AJ33" s="2" t="n">
        <v>5</v>
      </c>
      <c r="AK33" s="2" t="n">
        <v>0</v>
      </c>
      <c r="AL33" s="2" t="n">
        <v>5</v>
      </c>
      <c r="AM33" s="5" t="n">
        <f aca="false">SUM(AG33:AL33)</f>
        <v>38</v>
      </c>
      <c r="AN33" s="5" t="str">
        <f aca="false">IF(AM33&gt;=80,"A",IF(AM33&gt;=60,"B","C"))</f>
        <v>C</v>
      </c>
      <c r="AO33" s="4" t="s">
        <v>372</v>
      </c>
      <c r="AP33" s="4" t="s">
        <v>373</v>
      </c>
      <c r="AQ33" s="2" t="s">
        <v>66</v>
      </c>
    </row>
    <row r="34" customFormat="false" ht="74.6" hidden="false" customHeight="false" outlineLevel="0" collapsed="false">
      <c r="A34" s="2" t="s">
        <v>374</v>
      </c>
      <c r="B34" s="2" t="s">
        <v>375</v>
      </c>
      <c r="C34" s="2"/>
      <c r="D34" s="2" t="s">
        <v>45</v>
      </c>
      <c r="E34" s="2"/>
      <c r="F34" s="2" t="s">
        <v>46</v>
      </c>
      <c r="G34" s="3" t="s">
        <v>47</v>
      </c>
      <c r="H34" s="2" t="n">
        <v>26.291029516782</v>
      </c>
      <c r="I34" s="2" t="n">
        <v>50.2119827270508</v>
      </c>
      <c r="J34" s="2" t="s">
        <v>48</v>
      </c>
      <c r="K34" s="2" t="s">
        <v>49</v>
      </c>
      <c r="L34" s="2" t="s">
        <v>50</v>
      </c>
      <c r="M34" s="2"/>
      <c r="N34" s="2" t="n">
        <v>100</v>
      </c>
      <c r="O34" s="4" t="s">
        <v>376</v>
      </c>
      <c r="P34" s="4" t="s">
        <v>377</v>
      </c>
      <c r="Q34" s="2"/>
      <c r="R34" s="2"/>
      <c r="S34" s="2"/>
      <c r="T34" s="2"/>
      <c r="U34" s="2"/>
      <c r="V34" s="2"/>
      <c r="W34" s="2"/>
      <c r="X34" s="2"/>
      <c r="Y34" s="2"/>
      <c r="Z34" s="2" t="s">
        <v>378</v>
      </c>
      <c r="AA34" s="2"/>
      <c r="AB34" s="2"/>
      <c r="AC34" s="2" t="s">
        <v>61</v>
      </c>
      <c r="AD34" s="3" t="s">
        <v>379</v>
      </c>
      <c r="AE34" s="2" t="s">
        <v>153</v>
      </c>
      <c r="AF34" s="2" t="s">
        <v>241</v>
      </c>
      <c r="AG34" s="2" t="n">
        <v>15</v>
      </c>
      <c r="AH34" s="2" t="n">
        <v>8</v>
      </c>
      <c r="AI34" s="2" t="n">
        <v>20</v>
      </c>
      <c r="AJ34" s="2" t="n">
        <v>0</v>
      </c>
      <c r="AK34" s="2" t="n">
        <v>10</v>
      </c>
      <c r="AL34" s="2" t="n">
        <v>5</v>
      </c>
      <c r="AM34" s="5" t="n">
        <f aca="false">SUM(AG34:AL34)</f>
        <v>58</v>
      </c>
      <c r="AN34" s="5" t="str">
        <f aca="false">IF(AM34&gt;=80,"A",IF(AM34&gt;=60,"B","C"))</f>
        <v>C</v>
      </c>
      <c r="AO34" s="4"/>
      <c r="AP34" s="4" t="s">
        <v>380</v>
      </c>
      <c r="AQ34" s="2" t="s">
        <v>66</v>
      </c>
    </row>
    <row r="35" customFormat="false" ht="64.15" hidden="false" customHeight="false" outlineLevel="0" collapsed="false">
      <c r="A35" s="2" t="s">
        <v>381</v>
      </c>
      <c r="B35" s="2" t="s">
        <v>382</v>
      </c>
      <c r="C35" s="2"/>
      <c r="D35" s="2" t="s">
        <v>45</v>
      </c>
      <c r="E35" s="2" t="s">
        <v>167</v>
      </c>
      <c r="F35" s="2" t="s">
        <v>46</v>
      </c>
      <c r="G35" s="2"/>
      <c r="H35" s="2"/>
      <c r="I35" s="2"/>
      <c r="J35" s="2" t="s">
        <v>48</v>
      </c>
      <c r="K35" s="2" t="s">
        <v>49</v>
      </c>
      <c r="L35" s="2" t="s">
        <v>50</v>
      </c>
      <c r="M35" s="2"/>
      <c r="N35" s="2" t="n">
        <v>32</v>
      </c>
      <c r="O35" s="4"/>
      <c r="P35" s="4" t="s">
        <v>383</v>
      </c>
      <c r="Q35" s="2"/>
      <c r="R35" s="2"/>
      <c r="S35" s="2"/>
      <c r="T35" s="2"/>
      <c r="U35" s="2"/>
      <c r="V35" s="2"/>
      <c r="W35" s="2"/>
      <c r="X35" s="2"/>
      <c r="Y35" s="2"/>
      <c r="Z35" s="2"/>
      <c r="AA35" s="2"/>
      <c r="AB35" s="2" t="s">
        <v>384</v>
      </c>
      <c r="AC35" s="2" t="s">
        <v>61</v>
      </c>
      <c r="AD35" s="3" t="s">
        <v>385</v>
      </c>
      <c r="AE35" s="2" t="s">
        <v>153</v>
      </c>
      <c r="AF35" s="2" t="s">
        <v>241</v>
      </c>
      <c r="AG35" s="2" t="n">
        <v>5</v>
      </c>
      <c r="AH35" s="2" t="n">
        <v>8</v>
      </c>
      <c r="AI35" s="2" t="n">
        <v>20</v>
      </c>
      <c r="AJ35" s="2" t="n">
        <v>0</v>
      </c>
      <c r="AK35" s="2" t="n">
        <v>10</v>
      </c>
      <c r="AL35" s="2" t="n">
        <v>5</v>
      </c>
      <c r="AM35" s="5" t="n">
        <f aca="false">SUM(AG35:AL35)</f>
        <v>48</v>
      </c>
      <c r="AN35" s="5" t="str">
        <f aca="false">IF(AM35&gt;=80,"A",IF(AM35&gt;=60,"B","C"))</f>
        <v>C</v>
      </c>
      <c r="AO35" s="4"/>
      <c r="AP35" s="4" t="s">
        <v>385</v>
      </c>
      <c r="AQ35" s="2" t="s">
        <v>66</v>
      </c>
    </row>
    <row r="36" customFormat="false" ht="64.15" hidden="false" customHeight="false" outlineLevel="0" collapsed="false">
      <c r="A36" s="2" t="s">
        <v>386</v>
      </c>
      <c r="B36" s="2" t="s">
        <v>387</v>
      </c>
      <c r="C36" s="2"/>
      <c r="D36" s="2" t="s">
        <v>45</v>
      </c>
      <c r="E36" s="2"/>
      <c r="F36" s="2" t="s">
        <v>46</v>
      </c>
      <c r="G36" s="3" t="s">
        <v>47</v>
      </c>
      <c r="H36" s="2" t="n">
        <v>26.3674176627256</v>
      </c>
      <c r="I36" s="2" t="n">
        <v>50.2035713195801</v>
      </c>
      <c r="J36" s="2" t="s">
        <v>104</v>
      </c>
      <c r="K36" s="2" t="s">
        <v>49</v>
      </c>
      <c r="L36" s="2" t="s">
        <v>50</v>
      </c>
      <c r="M36" s="2"/>
      <c r="N36" s="2"/>
      <c r="O36" s="4"/>
      <c r="P36" s="4" t="s">
        <v>388</v>
      </c>
      <c r="Q36" s="2"/>
      <c r="R36" s="2"/>
      <c r="S36" s="2"/>
      <c r="T36" s="2"/>
      <c r="U36" s="2"/>
      <c r="V36" s="2"/>
      <c r="W36" s="2"/>
      <c r="X36" s="2"/>
      <c r="Y36" s="2"/>
      <c r="Z36" s="2"/>
      <c r="AA36" s="2"/>
      <c r="AB36" s="2" t="s">
        <v>384</v>
      </c>
      <c r="AC36" s="2" t="s">
        <v>61</v>
      </c>
      <c r="AD36" s="3" t="s">
        <v>389</v>
      </c>
      <c r="AE36" s="2" t="s">
        <v>153</v>
      </c>
      <c r="AF36" s="2" t="s">
        <v>241</v>
      </c>
      <c r="AG36" s="2" t="n">
        <v>0</v>
      </c>
      <c r="AH36" s="2" t="n">
        <v>8</v>
      </c>
      <c r="AI36" s="2" t="n">
        <v>20</v>
      </c>
      <c r="AJ36" s="2" t="n">
        <v>0</v>
      </c>
      <c r="AK36" s="2" t="n">
        <v>10</v>
      </c>
      <c r="AL36" s="2" t="n">
        <v>5</v>
      </c>
      <c r="AM36" s="5" t="n">
        <f aca="false">SUM(AG36:AL36)</f>
        <v>43</v>
      </c>
      <c r="AN36" s="5" t="str">
        <f aca="false">IF(AM36&gt;=80,"A",IF(AM36&gt;=60,"B","C"))</f>
        <v>C</v>
      </c>
      <c r="AO36" s="4"/>
      <c r="AP36" s="4" t="s">
        <v>389</v>
      </c>
      <c r="AQ36" s="2" t="s">
        <v>66</v>
      </c>
    </row>
    <row r="37" customFormat="false" ht="64.15" hidden="false" customHeight="false" outlineLevel="0" collapsed="false">
      <c r="A37" s="2" t="s">
        <v>390</v>
      </c>
      <c r="B37" s="2" t="s">
        <v>391</v>
      </c>
      <c r="C37" s="2"/>
      <c r="D37" s="2" t="s">
        <v>45</v>
      </c>
      <c r="E37" s="2"/>
      <c r="F37" s="2" t="s">
        <v>46</v>
      </c>
      <c r="G37" s="3" t="s">
        <v>47</v>
      </c>
      <c r="H37" s="2" t="n">
        <v>26.3670331558513</v>
      </c>
      <c r="I37" s="2" t="n">
        <v>50.2042579650879</v>
      </c>
      <c r="J37" s="2" t="s">
        <v>277</v>
      </c>
      <c r="K37" s="2" t="s">
        <v>49</v>
      </c>
      <c r="L37" s="2" t="s">
        <v>50</v>
      </c>
      <c r="M37" s="2"/>
      <c r="N37" s="2" t="n">
        <v>40</v>
      </c>
      <c r="O37" s="4" t="s">
        <v>392</v>
      </c>
      <c r="P37" s="4" t="s">
        <v>388</v>
      </c>
      <c r="Q37" s="2"/>
      <c r="R37" s="2"/>
      <c r="S37" s="2"/>
      <c r="T37" s="2"/>
      <c r="U37" s="2"/>
      <c r="V37" s="2"/>
      <c r="W37" s="2"/>
      <c r="X37" s="2"/>
      <c r="Y37" s="2"/>
      <c r="Z37" s="2"/>
      <c r="AA37" s="2"/>
      <c r="AB37" s="2" t="s">
        <v>384</v>
      </c>
      <c r="AC37" s="2" t="s">
        <v>61</v>
      </c>
      <c r="AD37" s="3" t="s">
        <v>393</v>
      </c>
      <c r="AE37" s="2" t="s">
        <v>153</v>
      </c>
      <c r="AF37" s="2" t="s">
        <v>241</v>
      </c>
      <c r="AG37" s="2" t="n">
        <v>5</v>
      </c>
      <c r="AH37" s="2" t="n">
        <v>8</v>
      </c>
      <c r="AI37" s="2" t="n">
        <v>20</v>
      </c>
      <c r="AJ37" s="2" t="n">
        <v>0</v>
      </c>
      <c r="AK37" s="2" t="n">
        <v>10</v>
      </c>
      <c r="AL37" s="2" t="n">
        <v>5</v>
      </c>
      <c r="AM37" s="5" t="n">
        <f aca="false">SUM(AG37:AL37)</f>
        <v>48</v>
      </c>
      <c r="AN37" s="5" t="str">
        <f aca="false">IF(AM37&gt;=80,"A",IF(AM37&gt;=60,"B","C"))</f>
        <v>C</v>
      </c>
      <c r="AO37" s="4"/>
      <c r="AP37" s="4" t="s">
        <v>393</v>
      </c>
      <c r="AQ37" s="2" t="s">
        <v>66</v>
      </c>
    </row>
    <row r="38" customFormat="false" ht="43.25" hidden="false" customHeight="false" outlineLevel="0" collapsed="false">
      <c r="A38" s="2" t="s">
        <v>394</v>
      </c>
      <c r="B38" s="2" t="s">
        <v>395</v>
      </c>
      <c r="C38" s="2"/>
      <c r="D38" s="2" t="s">
        <v>45</v>
      </c>
      <c r="E38" s="2"/>
      <c r="F38" s="2" t="s">
        <v>46</v>
      </c>
      <c r="G38" s="3" t="s">
        <v>47</v>
      </c>
      <c r="H38" s="2" t="n">
        <v>26.3678790692863</v>
      </c>
      <c r="I38" s="2" t="n">
        <v>50.20751953125</v>
      </c>
      <c r="J38" s="2" t="s">
        <v>48</v>
      </c>
      <c r="K38" s="2" t="s">
        <v>49</v>
      </c>
      <c r="L38" s="2" t="s">
        <v>50</v>
      </c>
      <c r="M38" s="2"/>
      <c r="N38" s="2" t="n">
        <v>30</v>
      </c>
      <c r="O38" s="4"/>
      <c r="P38" s="4" t="s">
        <v>396</v>
      </c>
      <c r="Q38" s="2"/>
      <c r="R38" s="2"/>
      <c r="S38" s="2"/>
      <c r="T38" s="2"/>
      <c r="U38" s="2"/>
      <c r="V38" s="2"/>
      <c r="W38" s="2"/>
      <c r="X38" s="2"/>
      <c r="Y38" s="2"/>
      <c r="Z38" s="2"/>
      <c r="AA38" s="2"/>
      <c r="AB38" s="2"/>
      <c r="AC38" s="2" t="s">
        <v>77</v>
      </c>
      <c r="AD38" s="2"/>
      <c r="AE38" s="2" t="s">
        <v>153</v>
      </c>
      <c r="AF38" s="2" t="s">
        <v>241</v>
      </c>
      <c r="AG38" s="2" t="n">
        <v>5</v>
      </c>
      <c r="AH38" s="2" t="n">
        <v>8</v>
      </c>
      <c r="AI38" s="2" t="n">
        <v>20</v>
      </c>
      <c r="AJ38" s="2" t="n">
        <v>0</v>
      </c>
      <c r="AK38" s="2" t="n">
        <v>0</v>
      </c>
      <c r="AL38" s="2" t="n">
        <v>5</v>
      </c>
      <c r="AM38" s="5" t="n">
        <f aca="false">SUM(AG38:AL38)</f>
        <v>38</v>
      </c>
      <c r="AN38" s="5" t="str">
        <f aca="false">IF(AM38&gt;=80,"A",IF(AM38&gt;=60,"B","C"))</f>
        <v>C</v>
      </c>
      <c r="AO38" s="4" t="s">
        <v>397</v>
      </c>
      <c r="AP38" s="4" t="s">
        <v>398</v>
      </c>
      <c r="AQ38" s="2" t="s">
        <v>66</v>
      </c>
    </row>
    <row r="39" customFormat="false" ht="22.35" hidden="false" customHeight="false" outlineLevel="0" collapsed="false">
      <c r="A39" s="2" t="s">
        <v>399</v>
      </c>
      <c r="B39" s="2" t="s">
        <v>400</v>
      </c>
      <c r="C39" s="2"/>
      <c r="D39" s="2" t="s">
        <v>45</v>
      </c>
      <c r="E39" s="2"/>
      <c r="F39" s="2" t="s">
        <v>46</v>
      </c>
      <c r="G39" s="3" t="s">
        <v>47</v>
      </c>
      <c r="H39" s="2" t="n">
        <v>26.3368069152998</v>
      </c>
      <c r="I39" s="2" t="n">
        <v>50.2154159545898</v>
      </c>
      <c r="J39" s="2" t="s">
        <v>119</v>
      </c>
      <c r="K39" s="2" t="s">
        <v>49</v>
      </c>
      <c r="L39" s="2" t="s">
        <v>50</v>
      </c>
      <c r="M39" s="2"/>
      <c r="N39" s="2"/>
      <c r="O39" s="4"/>
      <c r="P39" s="4" t="s">
        <v>401</v>
      </c>
      <c r="Q39" s="2"/>
      <c r="R39" s="2"/>
      <c r="S39" s="2"/>
      <c r="T39" s="2"/>
      <c r="U39" s="2"/>
      <c r="V39" s="2"/>
      <c r="W39" s="2"/>
      <c r="X39" s="2"/>
      <c r="Y39" s="2"/>
      <c r="Z39" s="2" t="s">
        <v>402</v>
      </c>
      <c r="AA39" s="2"/>
      <c r="AB39" s="2"/>
      <c r="AC39" s="2" t="s">
        <v>61</v>
      </c>
      <c r="AD39" s="3" t="s">
        <v>403</v>
      </c>
      <c r="AE39" s="2" t="s">
        <v>153</v>
      </c>
      <c r="AF39" s="2" t="s">
        <v>241</v>
      </c>
      <c r="AG39" s="2" t="n">
        <v>0</v>
      </c>
      <c r="AH39" s="2" t="n">
        <v>8</v>
      </c>
      <c r="AI39" s="2" t="n">
        <v>20</v>
      </c>
      <c r="AJ39" s="2" t="n">
        <v>0</v>
      </c>
      <c r="AK39" s="2" t="n">
        <v>10</v>
      </c>
      <c r="AL39" s="2" t="n">
        <v>5</v>
      </c>
      <c r="AM39" s="5" t="n">
        <f aca="false">SUM(AG39:AL39)</f>
        <v>43</v>
      </c>
      <c r="AN39" s="5" t="str">
        <f aca="false">IF(AM39&gt;=80,"A",IF(AM39&gt;=60,"B","C"))</f>
        <v>C</v>
      </c>
      <c r="AO39" s="4" t="s">
        <v>404</v>
      </c>
      <c r="AP39" s="4" t="s">
        <v>403</v>
      </c>
      <c r="AQ39" s="2" t="s">
        <v>66</v>
      </c>
    </row>
    <row r="40" customFormat="false" ht="43.25" hidden="false" customHeight="false" outlineLevel="0" collapsed="false">
      <c r="A40" s="2" t="s">
        <v>405</v>
      </c>
      <c r="B40" s="2" t="s">
        <v>406</v>
      </c>
      <c r="C40" s="2"/>
      <c r="D40" s="2" t="s">
        <v>45</v>
      </c>
      <c r="E40" s="2"/>
      <c r="F40" s="2" t="s">
        <v>45</v>
      </c>
      <c r="G40" s="3" t="s">
        <v>47</v>
      </c>
      <c r="H40" s="2" t="n">
        <v>26.3626049931815</v>
      </c>
      <c r="I40" s="2" t="n">
        <v>50.2043113414764</v>
      </c>
      <c r="J40" s="2" t="s">
        <v>119</v>
      </c>
      <c r="K40" s="2" t="s">
        <v>49</v>
      </c>
      <c r="L40" s="2" t="s">
        <v>50</v>
      </c>
      <c r="M40" s="2"/>
      <c r="N40" s="2"/>
      <c r="O40" s="4" t="s">
        <v>407</v>
      </c>
      <c r="P40" s="4" t="s">
        <v>408</v>
      </c>
      <c r="Q40" s="2"/>
      <c r="R40" s="2"/>
      <c r="S40" s="2"/>
      <c r="T40" s="2"/>
      <c r="U40" s="2"/>
      <c r="V40" s="2"/>
      <c r="W40" s="2"/>
      <c r="X40" s="2"/>
      <c r="Y40" s="2"/>
      <c r="Z40" s="2"/>
      <c r="AA40" s="2"/>
      <c r="AB40" s="2" t="s">
        <v>409</v>
      </c>
      <c r="AC40" s="2" t="s">
        <v>152</v>
      </c>
      <c r="AD40" s="3" t="s">
        <v>410</v>
      </c>
      <c r="AE40" s="2" t="s">
        <v>153</v>
      </c>
      <c r="AF40" s="2" t="s">
        <v>154</v>
      </c>
      <c r="AG40" s="2" t="n">
        <v>0</v>
      </c>
      <c r="AH40" s="2" t="n">
        <v>8</v>
      </c>
      <c r="AI40" s="2" t="n">
        <v>20</v>
      </c>
      <c r="AJ40" s="2" t="n">
        <v>0</v>
      </c>
      <c r="AK40" s="2" t="n">
        <v>10</v>
      </c>
      <c r="AL40" s="2" t="n">
        <v>5</v>
      </c>
      <c r="AM40" s="5" t="n">
        <f aca="false">SUM(AG40:AL40)</f>
        <v>43</v>
      </c>
      <c r="AN40" s="5" t="str">
        <f aca="false">IF(AM40&gt;=80,"A",IF(AM40&gt;=60,"B","C"))</f>
        <v>C</v>
      </c>
      <c r="AO40" s="4"/>
      <c r="AP40" s="4" t="s">
        <v>410</v>
      </c>
      <c r="AQ40" s="2" t="s">
        <v>66</v>
      </c>
    </row>
    <row r="41" customFormat="false" ht="64.15" hidden="false" customHeight="false" outlineLevel="0" collapsed="false">
      <c r="A41" s="2" t="s">
        <v>411</v>
      </c>
      <c r="B41" s="2" t="s">
        <v>412</v>
      </c>
      <c r="C41" s="2"/>
      <c r="D41" s="2" t="s">
        <v>45</v>
      </c>
      <c r="E41" s="2" t="s">
        <v>413</v>
      </c>
      <c r="F41" s="2" t="s">
        <v>414</v>
      </c>
      <c r="G41" s="3" t="s">
        <v>47</v>
      </c>
      <c r="H41" s="2" t="n">
        <v>26.3236751791609</v>
      </c>
      <c r="I41" s="2" t="n">
        <v>50.1946446601868</v>
      </c>
      <c r="J41" s="2" t="s">
        <v>357</v>
      </c>
      <c r="K41" s="2" t="s">
        <v>49</v>
      </c>
      <c r="L41" s="2" t="s">
        <v>50</v>
      </c>
      <c r="M41" s="2"/>
      <c r="N41" s="2"/>
      <c r="O41" s="4"/>
      <c r="P41" s="4" t="s">
        <v>415</v>
      </c>
      <c r="Q41" s="2"/>
      <c r="R41" s="2"/>
      <c r="S41" s="2"/>
      <c r="T41" s="2"/>
      <c r="U41" s="2"/>
      <c r="V41" s="2"/>
      <c r="W41" s="2"/>
      <c r="X41" s="2"/>
      <c r="Y41" s="2"/>
      <c r="Z41" s="2"/>
      <c r="AA41" s="2"/>
      <c r="AB41" s="2" t="s">
        <v>409</v>
      </c>
      <c r="AC41" s="2" t="s">
        <v>152</v>
      </c>
      <c r="AD41" s="3" t="s">
        <v>416</v>
      </c>
      <c r="AE41" s="2" t="s">
        <v>153</v>
      </c>
      <c r="AF41" s="2" t="s">
        <v>154</v>
      </c>
      <c r="AG41" s="2" t="n">
        <v>0</v>
      </c>
      <c r="AH41" s="2" t="n">
        <v>8</v>
      </c>
      <c r="AI41" s="2" t="n">
        <v>20</v>
      </c>
      <c r="AJ41" s="2" t="n">
        <v>0</v>
      </c>
      <c r="AK41" s="2" t="n">
        <v>10</v>
      </c>
      <c r="AL41" s="2" t="n">
        <v>5</v>
      </c>
      <c r="AM41" s="5" t="n">
        <f aca="false">SUM(AG41:AL41)</f>
        <v>43</v>
      </c>
      <c r="AN41" s="5" t="str">
        <f aca="false">IF(AM41&gt;=80,"A",IF(AM41&gt;=60,"B","C"))</f>
        <v>C</v>
      </c>
      <c r="AO41" s="4"/>
      <c r="AP41" s="4" t="s">
        <v>416</v>
      </c>
      <c r="AQ41" s="2" t="s">
        <v>66</v>
      </c>
    </row>
    <row r="42" customFormat="false" ht="74.6" hidden="false" customHeight="false" outlineLevel="0" collapsed="false">
      <c r="A42" s="2" t="s">
        <v>417</v>
      </c>
      <c r="B42" s="2" t="s">
        <v>418</v>
      </c>
      <c r="C42" s="2"/>
      <c r="D42" s="2" t="s">
        <v>45</v>
      </c>
      <c r="E42" s="2"/>
      <c r="F42" s="2" t="s">
        <v>419</v>
      </c>
      <c r="G42" s="3" t="s">
        <v>47</v>
      </c>
      <c r="H42" s="2" t="n">
        <v>26.3178634211571</v>
      </c>
      <c r="I42" s="2" t="n">
        <v>50.2125406265259</v>
      </c>
      <c r="J42" s="2" t="s">
        <v>48</v>
      </c>
      <c r="K42" s="2" t="s">
        <v>49</v>
      </c>
      <c r="L42" s="2" t="s">
        <v>50</v>
      </c>
      <c r="M42" s="2"/>
      <c r="N42" s="2" t="n">
        <v>69</v>
      </c>
      <c r="O42" s="4"/>
      <c r="P42" s="4" t="s">
        <v>420</v>
      </c>
      <c r="Q42" s="2"/>
      <c r="R42" s="2"/>
      <c r="S42" s="2"/>
      <c r="T42" s="2"/>
      <c r="U42" s="2"/>
      <c r="V42" s="2"/>
      <c r="W42" s="2"/>
      <c r="X42" s="2"/>
      <c r="Y42" s="2"/>
      <c r="Z42" s="2"/>
      <c r="AA42" s="2"/>
      <c r="AB42" s="2" t="s">
        <v>421</v>
      </c>
      <c r="AC42" s="2" t="s">
        <v>152</v>
      </c>
      <c r="AD42" s="3" t="s">
        <v>422</v>
      </c>
      <c r="AE42" s="2" t="s">
        <v>153</v>
      </c>
      <c r="AF42" s="2" t="s">
        <v>154</v>
      </c>
      <c r="AG42" s="2" t="n">
        <v>10</v>
      </c>
      <c r="AH42" s="2" t="n">
        <v>8</v>
      </c>
      <c r="AI42" s="2" t="n">
        <v>20</v>
      </c>
      <c r="AJ42" s="2" t="n">
        <v>0</v>
      </c>
      <c r="AK42" s="2" t="n">
        <v>10</v>
      </c>
      <c r="AL42" s="2" t="n">
        <v>5</v>
      </c>
      <c r="AM42" s="5" t="n">
        <f aca="false">SUM(AG42:AL42)</f>
        <v>53</v>
      </c>
      <c r="AN42" s="5" t="str">
        <f aca="false">IF(AM42&gt;=80,"A",IF(AM42&gt;=60,"B","C"))</f>
        <v>C</v>
      </c>
      <c r="AO42" s="4"/>
      <c r="AP42" s="4" t="s">
        <v>423</v>
      </c>
      <c r="AQ42" s="2" t="s">
        <v>66</v>
      </c>
    </row>
    <row r="43" customFormat="false" ht="64.15" hidden="false" customHeight="false" outlineLevel="0" collapsed="false">
      <c r="A43" s="2" t="s">
        <v>424</v>
      </c>
      <c r="B43" s="2" t="s">
        <v>425</v>
      </c>
      <c r="C43" s="2"/>
      <c r="D43" s="2" t="s">
        <v>45</v>
      </c>
      <c r="E43" s="2" t="s">
        <v>222</v>
      </c>
      <c r="F43" s="2" t="s">
        <v>426</v>
      </c>
      <c r="G43" s="3" t="s">
        <v>47</v>
      </c>
      <c r="H43" s="2" t="n">
        <v>26.1927972335535</v>
      </c>
      <c r="I43" s="2" t="n">
        <v>50.1874351501465</v>
      </c>
      <c r="J43" s="2" t="s">
        <v>119</v>
      </c>
      <c r="K43" s="2" t="s">
        <v>49</v>
      </c>
      <c r="L43" s="2" t="s">
        <v>50</v>
      </c>
      <c r="M43" s="2"/>
      <c r="N43" s="2"/>
      <c r="O43" s="4"/>
      <c r="P43" s="4" t="s">
        <v>427</v>
      </c>
      <c r="Q43" s="2"/>
      <c r="R43" s="2"/>
      <c r="S43" s="2"/>
      <c r="T43" s="2"/>
      <c r="U43" s="2"/>
      <c r="V43" s="2"/>
      <c r="W43" s="2"/>
      <c r="X43" s="2"/>
      <c r="Y43" s="2"/>
      <c r="Z43" s="2" t="s">
        <v>428</v>
      </c>
      <c r="AA43" s="2"/>
      <c r="AB43" s="2" t="s">
        <v>428</v>
      </c>
      <c r="AC43" s="2" t="s">
        <v>61</v>
      </c>
      <c r="AD43" s="3" t="s">
        <v>429</v>
      </c>
      <c r="AE43" s="2" t="s">
        <v>153</v>
      </c>
      <c r="AF43" s="2" t="s">
        <v>241</v>
      </c>
      <c r="AG43" s="2" t="n">
        <v>0</v>
      </c>
      <c r="AH43" s="2" t="n">
        <v>8</v>
      </c>
      <c r="AI43" s="2" t="n">
        <v>20</v>
      </c>
      <c r="AJ43" s="2" t="n">
        <v>0</v>
      </c>
      <c r="AK43" s="2" t="n">
        <v>10</v>
      </c>
      <c r="AL43" s="2" t="n">
        <v>5</v>
      </c>
      <c r="AM43" s="5" t="n">
        <f aca="false">SUM(AG43:AL43)</f>
        <v>43</v>
      </c>
      <c r="AN43" s="5" t="str">
        <f aca="false">IF(AM43&gt;=80,"A",IF(AM43&gt;=60,"B","C"))</f>
        <v>C</v>
      </c>
      <c r="AO43" s="4"/>
      <c r="AP43" s="4" t="s">
        <v>430</v>
      </c>
      <c r="AQ43" s="2" t="s">
        <v>66</v>
      </c>
    </row>
    <row r="44" customFormat="false" ht="32.8" hidden="false" customHeight="false" outlineLevel="0" collapsed="false">
      <c r="A44" s="2" t="s">
        <v>431</v>
      </c>
      <c r="B44" s="2" t="s">
        <v>432</v>
      </c>
      <c r="C44" s="2"/>
      <c r="D44" s="2" t="s">
        <v>45</v>
      </c>
      <c r="E44" s="2" t="s">
        <v>433</v>
      </c>
      <c r="F44" s="2"/>
      <c r="G44" s="2"/>
      <c r="H44" s="2"/>
      <c r="I44" s="2"/>
      <c r="J44" s="2" t="s">
        <v>119</v>
      </c>
      <c r="K44" s="2" t="s">
        <v>49</v>
      </c>
      <c r="L44" s="2" t="s">
        <v>77</v>
      </c>
      <c r="M44" s="2"/>
      <c r="N44" s="2"/>
      <c r="O44" s="4"/>
      <c r="P44" s="4"/>
      <c r="Q44" s="2"/>
      <c r="R44" s="2"/>
      <c r="S44" s="2"/>
      <c r="T44" s="2"/>
      <c r="U44" s="2"/>
      <c r="V44" s="2"/>
      <c r="W44" s="2"/>
      <c r="X44" s="2"/>
      <c r="Y44" s="2"/>
      <c r="Z44" s="2" t="s">
        <v>428</v>
      </c>
      <c r="AA44" s="2"/>
      <c r="AB44" s="2"/>
      <c r="AC44" s="2" t="s">
        <v>61</v>
      </c>
      <c r="AD44" s="3" t="s">
        <v>429</v>
      </c>
      <c r="AE44" s="2" t="s">
        <v>153</v>
      </c>
      <c r="AF44" s="2" t="s">
        <v>241</v>
      </c>
      <c r="AG44" s="2" t="n">
        <v>0</v>
      </c>
      <c r="AH44" s="2" t="n">
        <v>8</v>
      </c>
      <c r="AI44" s="2" t="n">
        <v>14</v>
      </c>
      <c r="AJ44" s="2" t="n">
        <v>0</v>
      </c>
      <c r="AK44" s="2" t="n">
        <v>10</v>
      </c>
      <c r="AL44" s="2" t="n">
        <v>0</v>
      </c>
      <c r="AM44" s="5" t="n">
        <f aca="false">SUM(AG44:AL44)</f>
        <v>32</v>
      </c>
      <c r="AN44" s="5" t="str">
        <f aca="false">IF(AM44&gt;=80,"A",IF(AM44&gt;=60,"B","C"))</f>
        <v>C</v>
      </c>
      <c r="AO44" s="4"/>
      <c r="AP44" s="4" t="s">
        <v>434</v>
      </c>
      <c r="AQ44" s="2" t="s">
        <v>66</v>
      </c>
    </row>
    <row r="45" customFormat="false" ht="53.7" hidden="false" customHeight="false" outlineLevel="0" collapsed="false">
      <c r="A45" s="2" t="s">
        <v>435</v>
      </c>
      <c r="B45" s="2" t="s">
        <v>436</v>
      </c>
      <c r="C45" s="2"/>
      <c r="D45" s="2" t="s">
        <v>45</v>
      </c>
      <c r="E45" s="2" t="s">
        <v>437</v>
      </c>
      <c r="F45" s="2" t="s">
        <v>46</v>
      </c>
      <c r="G45" s="3" t="s">
        <v>47</v>
      </c>
      <c r="H45" s="2" t="n">
        <v>26.3663410402545</v>
      </c>
      <c r="I45" s="2" t="n">
        <v>50.1920700073242</v>
      </c>
      <c r="J45" s="2" t="s">
        <v>119</v>
      </c>
      <c r="K45" s="2" t="s">
        <v>49</v>
      </c>
      <c r="L45" s="2" t="s">
        <v>50</v>
      </c>
      <c r="M45" s="2"/>
      <c r="N45" s="2"/>
      <c r="O45" s="4"/>
      <c r="P45" s="4" t="s">
        <v>438</v>
      </c>
      <c r="Q45" s="2"/>
      <c r="R45" s="2"/>
      <c r="S45" s="2"/>
      <c r="T45" s="2"/>
      <c r="U45" s="2"/>
      <c r="V45" s="2"/>
      <c r="W45" s="2"/>
      <c r="X45" s="2"/>
      <c r="Y45" s="2"/>
      <c r="Z45" s="2" t="s">
        <v>439</v>
      </c>
      <c r="AA45" s="2"/>
      <c r="AB45" s="2"/>
      <c r="AC45" s="2" t="s">
        <v>61</v>
      </c>
      <c r="AD45" s="3" t="s">
        <v>440</v>
      </c>
      <c r="AE45" s="2" t="s">
        <v>153</v>
      </c>
      <c r="AF45" s="2" t="s">
        <v>241</v>
      </c>
      <c r="AG45" s="2" t="n">
        <v>0</v>
      </c>
      <c r="AH45" s="2" t="n">
        <v>8</v>
      </c>
      <c r="AI45" s="2" t="n">
        <v>20</v>
      </c>
      <c r="AJ45" s="2" t="n">
        <v>0</v>
      </c>
      <c r="AK45" s="2" t="n">
        <v>10</v>
      </c>
      <c r="AL45" s="2" t="n">
        <v>5</v>
      </c>
      <c r="AM45" s="5" t="n">
        <f aca="false">SUM(AG45:AL45)</f>
        <v>43</v>
      </c>
      <c r="AN45" s="5" t="str">
        <f aca="false">IF(AM45&gt;=80,"A",IF(AM45&gt;=60,"B","C"))</f>
        <v>C</v>
      </c>
      <c r="AO45" s="4"/>
      <c r="AP45" s="4" t="s">
        <v>440</v>
      </c>
      <c r="AQ45" s="2" t="s">
        <v>66</v>
      </c>
    </row>
    <row r="46" customFormat="false" ht="74.6" hidden="false" customHeight="false" outlineLevel="0" collapsed="false">
      <c r="A46" s="2" t="s">
        <v>441</v>
      </c>
      <c r="B46" s="2" t="s">
        <v>442</v>
      </c>
      <c r="C46" s="2"/>
      <c r="D46" s="2" t="s">
        <v>45</v>
      </c>
      <c r="E46" s="2" t="s">
        <v>443</v>
      </c>
      <c r="F46" s="2" t="s">
        <v>444</v>
      </c>
      <c r="G46" s="3" t="s">
        <v>47</v>
      </c>
      <c r="H46" s="2" t="n">
        <v>26.2915898221829</v>
      </c>
      <c r="I46" s="2" t="n">
        <v>50.1777309179306</v>
      </c>
      <c r="J46" s="2" t="s">
        <v>277</v>
      </c>
      <c r="K46" s="2" t="s">
        <v>49</v>
      </c>
      <c r="L46" s="2" t="s">
        <v>50</v>
      </c>
      <c r="M46" s="2"/>
      <c r="N46" s="2"/>
      <c r="O46" s="4"/>
      <c r="P46" s="4" t="s">
        <v>445</v>
      </c>
      <c r="Q46" s="2"/>
      <c r="R46" s="2"/>
      <c r="S46" s="2"/>
      <c r="T46" s="2"/>
      <c r="U46" s="2"/>
      <c r="V46" s="2"/>
      <c r="W46" s="2"/>
      <c r="X46" s="2"/>
      <c r="Y46" s="2"/>
      <c r="Z46" s="2"/>
      <c r="AA46" s="2" t="s">
        <v>446</v>
      </c>
      <c r="AB46" s="2"/>
      <c r="AC46" s="2" t="s">
        <v>143</v>
      </c>
      <c r="AD46" s="3" t="s">
        <v>447</v>
      </c>
      <c r="AE46" s="2" t="s">
        <v>153</v>
      </c>
      <c r="AF46" s="2" t="s">
        <v>154</v>
      </c>
      <c r="AG46" s="2" t="n">
        <v>0</v>
      </c>
      <c r="AH46" s="2" t="n">
        <v>8</v>
      </c>
      <c r="AI46" s="2" t="n">
        <v>20</v>
      </c>
      <c r="AJ46" s="2" t="n">
        <v>0</v>
      </c>
      <c r="AK46" s="2" t="n">
        <v>10</v>
      </c>
      <c r="AL46" s="2" t="n">
        <v>5</v>
      </c>
      <c r="AM46" s="5" t="n">
        <f aca="false">SUM(AG46:AL46)</f>
        <v>43</v>
      </c>
      <c r="AN46" s="5" t="str">
        <f aca="false">IF(AM46&gt;=80,"A",IF(AM46&gt;=60,"B","C"))</f>
        <v>C</v>
      </c>
      <c r="AO46" s="4"/>
      <c r="AP46" s="4" t="s">
        <v>448</v>
      </c>
      <c r="AQ46" s="2" t="s">
        <v>66</v>
      </c>
    </row>
    <row r="47" customFormat="false" ht="53.7" hidden="false" customHeight="false" outlineLevel="0" collapsed="false">
      <c r="A47" s="2" t="s">
        <v>449</v>
      </c>
      <c r="B47" s="2" t="s">
        <v>450</v>
      </c>
      <c r="C47" s="2"/>
      <c r="D47" s="2" t="s">
        <v>45</v>
      </c>
      <c r="E47" s="2" t="s">
        <v>451</v>
      </c>
      <c r="F47" s="2" t="s">
        <v>452</v>
      </c>
      <c r="G47" s="3" t="s">
        <v>47</v>
      </c>
      <c r="H47" s="2" t="n">
        <v>26.2932674156755</v>
      </c>
      <c r="I47" s="2" t="n">
        <v>50.1809358224273</v>
      </c>
      <c r="J47" s="2" t="s">
        <v>277</v>
      </c>
      <c r="K47" s="2" t="s">
        <v>49</v>
      </c>
      <c r="L47" s="2" t="s">
        <v>50</v>
      </c>
      <c r="M47" s="2"/>
      <c r="N47" s="2"/>
      <c r="O47" s="4" t="s">
        <v>392</v>
      </c>
      <c r="P47" s="4" t="s">
        <v>453</v>
      </c>
      <c r="Q47" s="2"/>
      <c r="R47" s="2"/>
      <c r="S47" s="2"/>
      <c r="T47" s="2"/>
      <c r="U47" s="2"/>
      <c r="V47" s="2"/>
      <c r="W47" s="2"/>
      <c r="X47" s="2"/>
      <c r="Y47" s="2"/>
      <c r="Z47" s="2"/>
      <c r="AA47" s="2"/>
      <c r="AB47" s="2"/>
      <c r="AC47" s="2" t="s">
        <v>77</v>
      </c>
      <c r="AD47" s="2"/>
      <c r="AE47" s="2" t="s">
        <v>153</v>
      </c>
      <c r="AF47" s="2" t="s">
        <v>241</v>
      </c>
      <c r="AG47" s="2" t="n">
        <v>0</v>
      </c>
      <c r="AH47" s="2" t="n">
        <v>8</v>
      </c>
      <c r="AI47" s="2" t="n">
        <v>20</v>
      </c>
      <c r="AJ47" s="2" t="n">
        <v>0</v>
      </c>
      <c r="AK47" s="2" t="n">
        <v>0</v>
      </c>
      <c r="AL47" s="2" t="n">
        <v>5</v>
      </c>
      <c r="AM47" s="5" t="n">
        <f aca="false">SUM(AG47:AL47)</f>
        <v>33</v>
      </c>
      <c r="AN47" s="5" t="str">
        <f aca="false">IF(AM47&gt;=80,"A",IF(AM47&gt;=60,"B","C"))</f>
        <v>C</v>
      </c>
      <c r="AO47" s="4"/>
      <c r="AP47" s="4" t="s">
        <v>454</v>
      </c>
      <c r="AQ47" s="2" t="s">
        <v>66</v>
      </c>
    </row>
    <row r="48" customFormat="false" ht="85.05" hidden="false" customHeight="false" outlineLevel="0" collapsed="false">
      <c r="A48" s="2" t="s">
        <v>455</v>
      </c>
      <c r="B48" s="2" t="s">
        <v>456</v>
      </c>
      <c r="C48" s="2"/>
      <c r="D48" s="2" t="s">
        <v>45</v>
      </c>
      <c r="E48" s="2" t="s">
        <v>457</v>
      </c>
      <c r="F48" s="2" t="s">
        <v>458</v>
      </c>
      <c r="G48" s="3" t="s">
        <v>47</v>
      </c>
      <c r="H48" s="2" t="n">
        <v>26.3286947742013</v>
      </c>
      <c r="I48" s="2" t="n">
        <v>50.1976058189392</v>
      </c>
      <c r="J48" s="2" t="s">
        <v>104</v>
      </c>
      <c r="K48" s="2" t="s">
        <v>49</v>
      </c>
      <c r="L48" s="2" t="s">
        <v>50</v>
      </c>
      <c r="M48" s="2"/>
      <c r="N48" s="2"/>
      <c r="O48" s="4"/>
      <c r="P48" s="4" t="s">
        <v>459</v>
      </c>
      <c r="Q48" s="3" t="s">
        <v>460</v>
      </c>
      <c r="R48" s="2" t="s">
        <v>461</v>
      </c>
      <c r="S48" s="2"/>
      <c r="T48" s="2"/>
      <c r="U48" s="2" t="s">
        <v>462</v>
      </c>
      <c r="V48" s="2"/>
      <c r="W48" s="2"/>
      <c r="X48" s="2"/>
      <c r="Y48" s="2"/>
      <c r="Z48" s="2"/>
      <c r="AA48" s="2"/>
      <c r="AB48" s="2"/>
      <c r="AC48" s="2" t="s">
        <v>77</v>
      </c>
      <c r="AD48" s="2"/>
      <c r="AE48" s="2" t="s">
        <v>207</v>
      </c>
      <c r="AF48" s="2" t="s">
        <v>97</v>
      </c>
      <c r="AG48" s="2" t="n">
        <v>0</v>
      </c>
      <c r="AH48" s="2" t="n">
        <v>8</v>
      </c>
      <c r="AI48" s="2" t="n">
        <v>12</v>
      </c>
      <c r="AJ48" s="2" t="n">
        <v>5</v>
      </c>
      <c r="AK48" s="2" t="n">
        <v>0</v>
      </c>
      <c r="AL48" s="2" t="n">
        <v>5</v>
      </c>
      <c r="AM48" s="5" t="n">
        <f aca="false">SUM(AG48:AL48)</f>
        <v>30</v>
      </c>
      <c r="AN48" s="5" t="str">
        <f aca="false">IF(AM48&gt;=80,"A",IF(AM48&gt;=60,"B","C"))</f>
        <v>C</v>
      </c>
      <c r="AO48" s="4" t="s">
        <v>463</v>
      </c>
      <c r="AP48" s="4" t="s">
        <v>464</v>
      </c>
      <c r="AQ48" s="2" t="s">
        <v>66</v>
      </c>
    </row>
    <row r="49" customFormat="false" ht="74.6" hidden="false" customHeight="false" outlineLevel="0" collapsed="false">
      <c r="A49" s="2" t="s">
        <v>465</v>
      </c>
      <c r="B49" s="2" t="s">
        <v>466</v>
      </c>
      <c r="C49" s="2"/>
      <c r="D49" s="2" t="s">
        <v>45</v>
      </c>
      <c r="E49" s="2" t="s">
        <v>467</v>
      </c>
      <c r="F49" s="2" t="s">
        <v>468</v>
      </c>
      <c r="G49" s="3" t="s">
        <v>47</v>
      </c>
      <c r="H49" s="2" t="n">
        <v>26.32161051633</v>
      </c>
      <c r="I49" s="2" t="n">
        <v>50.1928495610164</v>
      </c>
      <c r="J49" s="2" t="s">
        <v>104</v>
      </c>
      <c r="K49" s="2" t="s">
        <v>49</v>
      </c>
      <c r="L49" s="2" t="s">
        <v>50</v>
      </c>
      <c r="M49" s="2"/>
      <c r="N49" s="2"/>
      <c r="O49" s="4"/>
      <c r="P49" s="4" t="s">
        <v>469</v>
      </c>
      <c r="Q49" s="3" t="s">
        <v>470</v>
      </c>
      <c r="R49" s="2" t="s">
        <v>471</v>
      </c>
      <c r="S49" s="2"/>
      <c r="T49" s="2"/>
      <c r="U49" s="2" t="s">
        <v>472</v>
      </c>
      <c r="V49" s="2"/>
      <c r="W49" s="2"/>
      <c r="X49" s="2"/>
      <c r="Y49" s="2"/>
      <c r="Z49" s="2"/>
      <c r="AA49" s="2"/>
      <c r="AB49" s="2"/>
      <c r="AC49" s="2" t="s">
        <v>77</v>
      </c>
      <c r="AD49" s="2"/>
      <c r="AE49" s="2" t="s">
        <v>207</v>
      </c>
      <c r="AF49" s="2" t="s">
        <v>97</v>
      </c>
      <c r="AG49" s="2" t="n">
        <v>0</v>
      </c>
      <c r="AH49" s="2" t="n">
        <v>8</v>
      </c>
      <c r="AI49" s="2" t="n">
        <v>12</v>
      </c>
      <c r="AJ49" s="2" t="n">
        <v>5</v>
      </c>
      <c r="AK49" s="2" t="n">
        <v>0</v>
      </c>
      <c r="AL49" s="2" t="n">
        <v>5</v>
      </c>
      <c r="AM49" s="5" t="n">
        <f aca="false">SUM(AG49:AL49)</f>
        <v>30</v>
      </c>
      <c r="AN49" s="5" t="str">
        <f aca="false">IF(AM49&gt;=80,"A",IF(AM49&gt;=60,"B","C"))</f>
        <v>C</v>
      </c>
      <c r="AO49" s="4" t="s">
        <v>473</v>
      </c>
      <c r="AP49" s="4" t="s">
        <v>474</v>
      </c>
      <c r="AQ49" s="2" t="s">
        <v>66</v>
      </c>
    </row>
    <row r="50" customFormat="false" ht="32.8" hidden="false" customHeight="false" outlineLevel="0" collapsed="false">
      <c r="A50" s="2" t="s">
        <v>475</v>
      </c>
      <c r="B50" s="2" t="s">
        <v>476</v>
      </c>
      <c r="C50" s="2"/>
      <c r="D50" s="2" t="s">
        <v>45</v>
      </c>
      <c r="E50" s="2"/>
      <c r="F50" s="2"/>
      <c r="G50" s="2"/>
      <c r="H50" s="2"/>
      <c r="I50" s="2"/>
      <c r="J50" s="2" t="s">
        <v>357</v>
      </c>
      <c r="K50" s="2" t="s">
        <v>49</v>
      </c>
      <c r="L50" s="2" t="s">
        <v>77</v>
      </c>
      <c r="M50" s="2"/>
      <c r="N50" s="2"/>
      <c r="O50" s="4"/>
      <c r="P50" s="4"/>
      <c r="Q50" s="2"/>
      <c r="R50" s="2"/>
      <c r="S50" s="2"/>
      <c r="T50" s="2"/>
      <c r="U50" s="2"/>
      <c r="V50" s="2"/>
      <c r="W50" s="2"/>
      <c r="X50" s="2"/>
      <c r="Y50" s="2"/>
      <c r="Z50" s="2"/>
      <c r="AA50" s="2"/>
      <c r="AB50" s="2"/>
      <c r="AC50" s="2" t="s">
        <v>77</v>
      </c>
      <c r="AD50" s="2"/>
      <c r="AE50" s="2" t="s">
        <v>153</v>
      </c>
      <c r="AF50" s="2" t="s">
        <v>241</v>
      </c>
      <c r="AG50" s="2" t="n">
        <v>0</v>
      </c>
      <c r="AH50" s="2" t="n">
        <v>8</v>
      </c>
      <c r="AI50" s="2" t="n">
        <v>14</v>
      </c>
      <c r="AJ50" s="2" t="n">
        <v>0</v>
      </c>
      <c r="AK50" s="2" t="n">
        <v>0</v>
      </c>
      <c r="AL50" s="2" t="n">
        <v>0</v>
      </c>
      <c r="AM50" s="5" t="n">
        <f aca="false">SUM(AG50:AL50)</f>
        <v>22</v>
      </c>
      <c r="AN50" s="5" t="str">
        <f aca="false">IF(AM50&gt;=80,"A",IF(AM50&gt;=60,"B","C"))</f>
        <v>C</v>
      </c>
      <c r="AO50" s="4" t="s">
        <v>477</v>
      </c>
      <c r="AP50" s="4" t="s">
        <v>478</v>
      </c>
      <c r="AQ50" s="2" t="s">
        <v>66</v>
      </c>
    </row>
    <row r="51" customFormat="false" ht="64.15" hidden="false" customHeight="false" outlineLevel="0" collapsed="false">
      <c r="A51" s="2" t="s">
        <v>479</v>
      </c>
      <c r="B51" s="2" t="s">
        <v>480</v>
      </c>
      <c r="C51" s="2"/>
      <c r="D51" s="2" t="s">
        <v>45</v>
      </c>
      <c r="E51" s="2"/>
      <c r="F51" s="2" t="s">
        <v>481</v>
      </c>
      <c r="G51" s="3" t="s">
        <v>47</v>
      </c>
      <c r="H51" s="2" t="n">
        <v>26.3371626771608</v>
      </c>
      <c r="I51" s="2" t="n">
        <v>50.2101159095764</v>
      </c>
      <c r="J51" s="2" t="s">
        <v>48</v>
      </c>
      <c r="K51" s="2" t="s">
        <v>49</v>
      </c>
      <c r="L51" s="2" t="s">
        <v>50</v>
      </c>
      <c r="M51" s="2"/>
      <c r="N51" s="2" t="n">
        <v>232</v>
      </c>
      <c r="O51" s="4" t="s">
        <v>482</v>
      </c>
      <c r="P51" s="4" t="s">
        <v>483</v>
      </c>
      <c r="Q51" s="2"/>
      <c r="R51" s="2"/>
      <c r="S51" s="2"/>
      <c r="T51" s="2"/>
      <c r="U51" s="2"/>
      <c r="V51" s="2"/>
      <c r="W51" s="2"/>
      <c r="X51" s="2"/>
      <c r="Y51" s="2"/>
      <c r="Z51" s="2"/>
      <c r="AA51" s="2"/>
      <c r="AB51" s="2"/>
      <c r="AC51" s="2" t="s">
        <v>77</v>
      </c>
      <c r="AD51" s="2"/>
      <c r="AE51" s="2" t="s">
        <v>153</v>
      </c>
      <c r="AF51" s="2" t="s">
        <v>241</v>
      </c>
      <c r="AG51" s="2" t="n">
        <v>20</v>
      </c>
      <c r="AH51" s="2" t="n">
        <v>8</v>
      </c>
      <c r="AI51" s="2" t="n">
        <v>20</v>
      </c>
      <c r="AJ51" s="2" t="n">
        <v>0</v>
      </c>
      <c r="AK51" s="2" t="n">
        <v>0</v>
      </c>
      <c r="AL51" s="2" t="n">
        <v>5</v>
      </c>
      <c r="AM51" s="5" t="n">
        <f aca="false">SUM(AG51:AL51)</f>
        <v>53</v>
      </c>
      <c r="AN51" s="5" t="str">
        <f aca="false">IF(AM51&gt;=80,"A",IF(AM51&gt;=60,"B","C"))</f>
        <v>C</v>
      </c>
      <c r="AO51" s="4" t="s">
        <v>484</v>
      </c>
      <c r="AP51" s="4" t="s">
        <v>485</v>
      </c>
      <c r="AQ51" s="2" t="s">
        <v>66</v>
      </c>
    </row>
    <row r="52" customFormat="false" ht="74.6" hidden="false" customHeight="false" outlineLevel="0" collapsed="false">
      <c r="A52" s="2" t="s">
        <v>486</v>
      </c>
      <c r="B52" s="2" t="s">
        <v>487</v>
      </c>
      <c r="C52" s="2"/>
      <c r="D52" s="2" t="s">
        <v>45</v>
      </c>
      <c r="E52" s="2" t="s">
        <v>488</v>
      </c>
      <c r="F52" s="2" t="s">
        <v>488</v>
      </c>
      <c r="G52" s="3" t="s">
        <v>47</v>
      </c>
      <c r="H52" s="2" t="n">
        <v>26.3505462207333</v>
      </c>
      <c r="I52" s="2" t="n">
        <v>50.1983088254929</v>
      </c>
      <c r="J52" s="2" t="s">
        <v>277</v>
      </c>
      <c r="K52" s="2" t="s">
        <v>49</v>
      </c>
      <c r="L52" s="2" t="s">
        <v>50</v>
      </c>
      <c r="M52" s="2"/>
      <c r="N52" s="2" t="n">
        <v>175</v>
      </c>
      <c r="O52" s="4" t="s">
        <v>489</v>
      </c>
      <c r="P52" s="4" t="s">
        <v>490</v>
      </c>
      <c r="Q52" s="2"/>
      <c r="R52" s="2"/>
      <c r="S52" s="2"/>
      <c r="T52" s="2"/>
      <c r="U52" s="2"/>
      <c r="V52" s="2"/>
      <c r="W52" s="2"/>
      <c r="X52" s="2"/>
      <c r="Y52" s="2"/>
      <c r="Z52" s="2"/>
      <c r="AA52" s="2"/>
      <c r="AB52" s="2"/>
      <c r="AC52" s="2" t="s">
        <v>77</v>
      </c>
      <c r="AD52" s="2"/>
      <c r="AE52" s="2" t="s">
        <v>153</v>
      </c>
      <c r="AF52" s="2" t="s">
        <v>241</v>
      </c>
      <c r="AG52" s="2" t="n">
        <v>15</v>
      </c>
      <c r="AH52" s="2" t="n">
        <v>8</v>
      </c>
      <c r="AI52" s="2" t="n">
        <v>20</v>
      </c>
      <c r="AJ52" s="2" t="n">
        <v>0</v>
      </c>
      <c r="AK52" s="2" t="n">
        <v>0</v>
      </c>
      <c r="AL52" s="2" t="n">
        <v>5</v>
      </c>
      <c r="AM52" s="5" t="n">
        <f aca="false">SUM(AG52:AL52)</f>
        <v>48</v>
      </c>
      <c r="AN52" s="5" t="str">
        <f aca="false">IF(AM52&gt;=80,"A",IF(AM52&gt;=60,"B","C"))</f>
        <v>C</v>
      </c>
      <c r="AO52" s="4" t="s">
        <v>491</v>
      </c>
      <c r="AP52" s="4" t="s">
        <v>492</v>
      </c>
      <c r="AQ52" s="2" t="s">
        <v>66</v>
      </c>
    </row>
    <row r="53" customFormat="false" ht="74.6" hidden="false" customHeight="false" outlineLevel="0" collapsed="false">
      <c r="A53" s="2" t="s">
        <v>493</v>
      </c>
      <c r="B53" s="2" t="s">
        <v>494</v>
      </c>
      <c r="C53" s="2"/>
      <c r="D53" s="2" t="s">
        <v>45</v>
      </c>
      <c r="E53" s="2" t="s">
        <v>167</v>
      </c>
      <c r="F53" s="2" t="s">
        <v>495</v>
      </c>
      <c r="G53" s="3" t="s">
        <v>47</v>
      </c>
      <c r="H53" s="2" t="n">
        <v>26.3309496747023</v>
      </c>
      <c r="I53" s="2" t="n">
        <v>50.1892641489029</v>
      </c>
      <c r="J53" s="2" t="s">
        <v>277</v>
      </c>
      <c r="K53" s="2" t="s">
        <v>49</v>
      </c>
      <c r="L53" s="2" t="s">
        <v>50</v>
      </c>
      <c r="M53" s="2"/>
      <c r="N53" s="2"/>
      <c r="O53" s="4"/>
      <c r="P53" s="4" t="s">
        <v>496</v>
      </c>
      <c r="Q53" s="2"/>
      <c r="R53" s="2"/>
      <c r="S53" s="2"/>
      <c r="T53" s="2"/>
      <c r="U53" s="2"/>
      <c r="V53" s="2"/>
      <c r="W53" s="2"/>
      <c r="X53" s="2"/>
      <c r="Y53" s="2"/>
      <c r="Z53" s="2"/>
      <c r="AA53" s="2"/>
      <c r="AB53" s="2"/>
      <c r="AC53" s="2" t="s">
        <v>77</v>
      </c>
      <c r="AD53" s="2"/>
      <c r="AE53" s="2" t="s">
        <v>153</v>
      </c>
      <c r="AF53" s="2" t="s">
        <v>241</v>
      </c>
      <c r="AG53" s="2" t="n">
        <v>0</v>
      </c>
      <c r="AH53" s="2" t="n">
        <v>8</v>
      </c>
      <c r="AI53" s="2" t="n">
        <v>20</v>
      </c>
      <c r="AJ53" s="2" t="n">
        <v>0</v>
      </c>
      <c r="AK53" s="2" t="n">
        <v>0</v>
      </c>
      <c r="AL53" s="2" t="n">
        <v>5</v>
      </c>
      <c r="AM53" s="5" t="n">
        <f aca="false">SUM(AG53:AL53)</f>
        <v>33</v>
      </c>
      <c r="AN53" s="5" t="str">
        <f aca="false">IF(AM53&gt;=80,"A",IF(AM53&gt;=60,"B","C"))</f>
        <v>C</v>
      </c>
      <c r="AO53" s="4"/>
      <c r="AP53" s="4" t="s">
        <v>497</v>
      </c>
      <c r="AQ53" s="2" t="s">
        <v>66</v>
      </c>
    </row>
    <row r="54" customFormat="false" ht="74.6" hidden="false" customHeight="false" outlineLevel="0" collapsed="false">
      <c r="A54" s="2" t="s">
        <v>498</v>
      </c>
      <c r="B54" s="2" t="s">
        <v>499</v>
      </c>
      <c r="C54" s="2"/>
      <c r="D54" s="2" t="s">
        <v>45</v>
      </c>
      <c r="E54" s="2" t="s">
        <v>500</v>
      </c>
      <c r="F54" s="2" t="s">
        <v>501</v>
      </c>
      <c r="G54" s="3" t="s">
        <v>47</v>
      </c>
      <c r="H54" s="2" t="n">
        <v>26.3463640296653</v>
      </c>
      <c r="I54" s="2" t="n">
        <v>50.189516544342</v>
      </c>
      <c r="J54" s="2" t="s">
        <v>119</v>
      </c>
      <c r="K54" s="2" t="s">
        <v>49</v>
      </c>
      <c r="L54" s="2" t="s">
        <v>50</v>
      </c>
      <c r="M54" s="2"/>
      <c r="N54" s="2" t="n">
        <v>233</v>
      </c>
      <c r="O54" s="4"/>
      <c r="P54" s="4" t="s">
        <v>502</v>
      </c>
      <c r="Q54" s="2"/>
      <c r="R54" s="2"/>
      <c r="S54" s="2"/>
      <c r="T54" s="2"/>
      <c r="U54" s="2"/>
      <c r="V54" s="2"/>
      <c r="W54" s="2"/>
      <c r="X54" s="2"/>
      <c r="Y54" s="2"/>
      <c r="Z54" s="2"/>
      <c r="AA54" s="2"/>
      <c r="AB54" s="2"/>
      <c r="AC54" s="2" t="s">
        <v>77</v>
      </c>
      <c r="AD54" s="2"/>
      <c r="AE54" s="2" t="s">
        <v>153</v>
      </c>
      <c r="AF54" s="2" t="s">
        <v>241</v>
      </c>
      <c r="AG54" s="2" t="n">
        <v>20</v>
      </c>
      <c r="AH54" s="2" t="n">
        <v>8</v>
      </c>
      <c r="AI54" s="2" t="n">
        <v>20</v>
      </c>
      <c r="AJ54" s="2" t="n">
        <v>0</v>
      </c>
      <c r="AK54" s="2" t="n">
        <v>0</v>
      </c>
      <c r="AL54" s="2" t="n">
        <v>5</v>
      </c>
      <c r="AM54" s="5" t="n">
        <f aca="false">SUM(AG54:AL54)</f>
        <v>53</v>
      </c>
      <c r="AN54" s="5" t="str">
        <f aca="false">IF(AM54&gt;=80,"A",IF(AM54&gt;=60,"B","C"))</f>
        <v>C</v>
      </c>
      <c r="AO54" s="4"/>
      <c r="AP54" s="4" t="s">
        <v>503</v>
      </c>
      <c r="AQ54" s="2" t="s">
        <v>66</v>
      </c>
    </row>
    <row r="55" customFormat="false" ht="74.6" hidden="false" customHeight="false" outlineLevel="0" collapsed="false">
      <c r="A55" s="2" t="s">
        <v>504</v>
      </c>
      <c r="B55" s="2" t="s">
        <v>505</v>
      </c>
      <c r="C55" s="2"/>
      <c r="D55" s="2" t="s">
        <v>45</v>
      </c>
      <c r="E55" s="2" t="s">
        <v>118</v>
      </c>
      <c r="F55" s="2" t="s">
        <v>506</v>
      </c>
      <c r="G55" s="3" t="s">
        <v>47</v>
      </c>
      <c r="H55" s="2" t="n">
        <v>26.3720112991475</v>
      </c>
      <c r="I55" s="2" t="n">
        <v>50.2155654085435</v>
      </c>
      <c r="J55" s="2" t="s">
        <v>119</v>
      </c>
      <c r="K55" s="2" t="s">
        <v>49</v>
      </c>
      <c r="L55" s="2" t="s">
        <v>50</v>
      </c>
      <c r="M55" s="2"/>
      <c r="N55" s="2" t="n">
        <v>220</v>
      </c>
      <c r="O55" s="4" t="s">
        <v>214</v>
      </c>
      <c r="P55" s="4" t="s">
        <v>507</v>
      </c>
      <c r="Q55" s="3" t="s">
        <v>508</v>
      </c>
      <c r="R55" s="2"/>
      <c r="S55" s="2" t="s">
        <v>509</v>
      </c>
      <c r="T55" s="2"/>
      <c r="U55" s="2" t="s">
        <v>510</v>
      </c>
      <c r="V55" s="2"/>
      <c r="W55" s="2"/>
      <c r="X55" s="3" t="s">
        <v>511</v>
      </c>
      <c r="Y55" s="2"/>
      <c r="Z55" s="2"/>
      <c r="AA55" s="2"/>
      <c r="AB55" s="2"/>
      <c r="AC55" s="2" t="s">
        <v>77</v>
      </c>
      <c r="AD55" s="2"/>
      <c r="AE55" s="2" t="s">
        <v>63</v>
      </c>
      <c r="AF55" s="2" t="s">
        <v>64</v>
      </c>
      <c r="AG55" s="2" t="n">
        <v>20</v>
      </c>
      <c r="AH55" s="2" t="n">
        <v>8</v>
      </c>
      <c r="AI55" s="2" t="n">
        <v>6</v>
      </c>
      <c r="AJ55" s="2" t="n">
        <v>15</v>
      </c>
      <c r="AK55" s="2" t="n">
        <v>0</v>
      </c>
      <c r="AL55" s="2" t="n">
        <v>5</v>
      </c>
      <c r="AM55" s="5" t="n">
        <f aca="false">SUM(AG55:AL55)</f>
        <v>54</v>
      </c>
      <c r="AN55" s="5" t="str">
        <f aca="false">IF(AM55&gt;=80,"A",IF(AM55&gt;=60,"B","C"))</f>
        <v>C</v>
      </c>
      <c r="AO55" s="4"/>
      <c r="AP55" s="4" t="s">
        <v>512</v>
      </c>
      <c r="AQ55" s="2" t="s">
        <v>66</v>
      </c>
    </row>
    <row r="56" customFormat="false" ht="85.05" hidden="false" customHeight="false" outlineLevel="0" collapsed="false">
      <c r="A56" s="2" t="s">
        <v>513</v>
      </c>
      <c r="B56" s="2" t="s">
        <v>514</v>
      </c>
      <c r="C56" s="2"/>
      <c r="D56" s="2" t="s">
        <v>45</v>
      </c>
      <c r="E56" s="2" t="s">
        <v>515</v>
      </c>
      <c r="F56" s="2" t="s">
        <v>516</v>
      </c>
      <c r="G56" s="3" t="s">
        <v>47</v>
      </c>
      <c r="H56" s="2" t="n">
        <v>26.3150072042446</v>
      </c>
      <c r="I56" s="2" t="n">
        <v>50.213817358017</v>
      </c>
      <c r="J56" s="2" t="s">
        <v>277</v>
      </c>
      <c r="K56" s="2" t="s">
        <v>49</v>
      </c>
      <c r="L56" s="2" t="s">
        <v>50</v>
      </c>
      <c r="M56" s="2"/>
      <c r="N56" s="2" t="n">
        <v>216</v>
      </c>
      <c r="O56" s="4" t="s">
        <v>517</v>
      </c>
      <c r="P56" s="4" t="s">
        <v>518</v>
      </c>
      <c r="Q56" s="3" t="s">
        <v>519</v>
      </c>
      <c r="R56" s="2" t="s">
        <v>520</v>
      </c>
      <c r="S56" s="2"/>
      <c r="T56" s="2"/>
      <c r="U56" s="2" t="s">
        <v>521</v>
      </c>
      <c r="V56" s="2"/>
      <c r="W56" s="3" t="s">
        <v>522</v>
      </c>
      <c r="X56" s="2"/>
      <c r="Y56" s="2" t="s">
        <v>523</v>
      </c>
      <c r="Z56" s="2"/>
      <c r="AA56" s="2"/>
      <c r="AB56" s="2"/>
      <c r="AC56" s="2" t="s">
        <v>77</v>
      </c>
      <c r="AD56" s="2"/>
      <c r="AE56" s="2" t="s">
        <v>207</v>
      </c>
      <c r="AF56" s="2" t="s">
        <v>64</v>
      </c>
      <c r="AG56" s="2" t="n">
        <v>20</v>
      </c>
      <c r="AH56" s="2" t="n">
        <v>8</v>
      </c>
      <c r="AI56" s="2" t="n">
        <v>6</v>
      </c>
      <c r="AJ56" s="2" t="n">
        <v>5</v>
      </c>
      <c r="AK56" s="2" t="n">
        <v>0</v>
      </c>
      <c r="AL56" s="2" t="n">
        <v>5</v>
      </c>
      <c r="AM56" s="5" t="n">
        <f aca="false">SUM(AG56:AL56)</f>
        <v>44</v>
      </c>
      <c r="AN56" s="5" t="str">
        <f aca="false">IF(AM56&gt;=80,"A",IF(AM56&gt;=60,"B","C"))</f>
        <v>C</v>
      </c>
      <c r="AO56" s="4" t="s">
        <v>524</v>
      </c>
      <c r="AP56" s="4" t="s">
        <v>525</v>
      </c>
      <c r="AQ56" s="2" t="s">
        <v>66</v>
      </c>
    </row>
    <row r="57" customFormat="false" ht="74.6" hidden="false" customHeight="false" outlineLevel="0" collapsed="false">
      <c r="A57" s="2" t="s">
        <v>526</v>
      </c>
      <c r="B57" s="2" t="s">
        <v>527</v>
      </c>
      <c r="C57" s="2"/>
      <c r="D57" s="2" t="s">
        <v>45</v>
      </c>
      <c r="E57" s="2" t="s">
        <v>93</v>
      </c>
      <c r="F57" s="2" t="s">
        <v>528</v>
      </c>
      <c r="G57" s="3" t="s">
        <v>47</v>
      </c>
      <c r="H57" s="2" t="n">
        <v>26.3314535287895</v>
      </c>
      <c r="I57" s="2" t="n">
        <v>50.2055501192808</v>
      </c>
      <c r="J57" s="2" t="s">
        <v>277</v>
      </c>
      <c r="K57" s="2" t="s">
        <v>49</v>
      </c>
      <c r="L57" s="2" t="s">
        <v>50</v>
      </c>
      <c r="M57" s="2"/>
      <c r="N57" s="2"/>
      <c r="O57" s="4" t="s">
        <v>489</v>
      </c>
      <c r="P57" s="4" t="s">
        <v>529</v>
      </c>
      <c r="Q57" s="2"/>
      <c r="R57" s="2"/>
      <c r="S57" s="2"/>
      <c r="T57" s="2"/>
      <c r="U57" s="2"/>
      <c r="V57" s="2"/>
      <c r="W57" s="2"/>
      <c r="X57" s="2"/>
      <c r="Y57" s="2"/>
      <c r="Z57" s="2"/>
      <c r="AA57" s="2"/>
      <c r="AB57" s="2"/>
      <c r="AC57" s="2" t="s">
        <v>77</v>
      </c>
      <c r="AD57" s="2"/>
      <c r="AE57" s="2" t="s">
        <v>153</v>
      </c>
      <c r="AF57" s="2" t="s">
        <v>241</v>
      </c>
      <c r="AG57" s="2" t="n">
        <v>0</v>
      </c>
      <c r="AH57" s="2" t="n">
        <v>8</v>
      </c>
      <c r="AI57" s="2" t="n">
        <v>20</v>
      </c>
      <c r="AJ57" s="2" t="n">
        <v>0</v>
      </c>
      <c r="AK57" s="2" t="n">
        <v>0</v>
      </c>
      <c r="AL57" s="2" t="n">
        <v>5</v>
      </c>
      <c r="AM57" s="5" t="n">
        <f aca="false">SUM(AG57:AL57)</f>
        <v>33</v>
      </c>
      <c r="AN57" s="5" t="str">
        <f aca="false">IF(AM57&gt;=80,"A",IF(AM57&gt;=60,"B","C"))</f>
        <v>C</v>
      </c>
      <c r="AO57" s="4"/>
      <c r="AP57" s="4" t="s">
        <v>530</v>
      </c>
      <c r="AQ57" s="2" t="s">
        <v>66</v>
      </c>
    </row>
    <row r="58" customFormat="false" ht="64.15" hidden="false" customHeight="false" outlineLevel="0" collapsed="false">
      <c r="A58" s="2" t="s">
        <v>531</v>
      </c>
      <c r="B58" s="2" t="s">
        <v>532</v>
      </c>
      <c r="C58" s="2"/>
      <c r="D58" s="2" t="s">
        <v>347</v>
      </c>
      <c r="E58" s="2" t="s">
        <v>533</v>
      </c>
      <c r="F58" s="2" t="s">
        <v>534</v>
      </c>
      <c r="G58" s="3" t="s">
        <v>47</v>
      </c>
      <c r="H58" s="2" t="n">
        <v>26.3745115850403</v>
      </c>
      <c r="I58" s="2" t="n">
        <v>50.1256370544434</v>
      </c>
      <c r="J58" s="2" t="s">
        <v>277</v>
      </c>
      <c r="K58" s="2" t="s">
        <v>49</v>
      </c>
      <c r="L58" s="2" t="s">
        <v>50</v>
      </c>
      <c r="M58" s="2"/>
      <c r="N58" s="2" t="n">
        <v>195</v>
      </c>
      <c r="O58" s="4"/>
      <c r="P58" s="4" t="s">
        <v>535</v>
      </c>
      <c r="Q58" s="2"/>
      <c r="R58" s="2"/>
      <c r="S58" s="2"/>
      <c r="T58" s="2"/>
      <c r="U58" s="2"/>
      <c r="V58" s="2"/>
      <c r="W58" s="2"/>
      <c r="X58" s="2"/>
      <c r="Y58" s="2"/>
      <c r="Z58" s="2"/>
      <c r="AA58" s="2"/>
      <c r="AB58" s="2"/>
      <c r="AC58" s="2" t="s">
        <v>77</v>
      </c>
      <c r="AD58" s="2"/>
      <c r="AE58" s="2" t="s">
        <v>153</v>
      </c>
      <c r="AF58" s="2" t="s">
        <v>241</v>
      </c>
      <c r="AG58" s="2" t="n">
        <v>15</v>
      </c>
      <c r="AH58" s="2" t="n">
        <v>8</v>
      </c>
      <c r="AI58" s="2" t="n">
        <v>20</v>
      </c>
      <c r="AJ58" s="2" t="n">
        <v>0</v>
      </c>
      <c r="AK58" s="2" t="n">
        <v>0</v>
      </c>
      <c r="AL58" s="2" t="n">
        <v>5</v>
      </c>
      <c r="AM58" s="5" t="n">
        <f aca="false">SUM(AG58:AL58)</f>
        <v>48</v>
      </c>
      <c r="AN58" s="5" t="str">
        <f aca="false">IF(AM58&gt;=80,"A",IF(AM58&gt;=60,"B","C"))</f>
        <v>C</v>
      </c>
      <c r="AO58" s="4"/>
      <c r="AP58" s="4" t="s">
        <v>536</v>
      </c>
      <c r="AQ58" s="2" t="s">
        <v>66</v>
      </c>
    </row>
    <row r="59" customFormat="false" ht="74.6" hidden="false" customHeight="false" outlineLevel="0" collapsed="false">
      <c r="A59" s="2" t="s">
        <v>537</v>
      </c>
      <c r="B59" s="2" t="s">
        <v>538</v>
      </c>
      <c r="C59" s="2"/>
      <c r="D59" s="2" t="s">
        <v>45</v>
      </c>
      <c r="E59" s="2" t="s">
        <v>93</v>
      </c>
      <c r="F59" s="2" t="s">
        <v>539</v>
      </c>
      <c r="G59" s="3" t="s">
        <v>47</v>
      </c>
      <c r="H59" s="2" t="n">
        <v>26.3353006911878</v>
      </c>
      <c r="I59" s="2" t="n">
        <v>50.2038285438538</v>
      </c>
      <c r="J59" s="2" t="s">
        <v>277</v>
      </c>
      <c r="K59" s="2" t="s">
        <v>49</v>
      </c>
      <c r="L59" s="2" t="s">
        <v>50</v>
      </c>
      <c r="M59" s="2"/>
      <c r="N59" s="2"/>
      <c r="O59" s="4" t="s">
        <v>540</v>
      </c>
      <c r="P59" s="4" t="s">
        <v>541</v>
      </c>
      <c r="Q59" s="2"/>
      <c r="R59" s="2"/>
      <c r="S59" s="2"/>
      <c r="T59" s="2"/>
      <c r="U59" s="2"/>
      <c r="V59" s="2"/>
      <c r="W59" s="2"/>
      <c r="X59" s="2"/>
      <c r="Y59" s="2"/>
      <c r="Z59" s="2"/>
      <c r="AA59" s="2"/>
      <c r="AB59" s="2"/>
      <c r="AC59" s="2" t="s">
        <v>77</v>
      </c>
      <c r="AD59" s="2"/>
      <c r="AE59" s="2" t="s">
        <v>153</v>
      </c>
      <c r="AF59" s="2" t="s">
        <v>241</v>
      </c>
      <c r="AG59" s="2" t="n">
        <v>0</v>
      </c>
      <c r="AH59" s="2" t="n">
        <v>8</v>
      </c>
      <c r="AI59" s="2" t="n">
        <v>20</v>
      </c>
      <c r="AJ59" s="2" t="n">
        <v>0</v>
      </c>
      <c r="AK59" s="2" t="n">
        <v>0</v>
      </c>
      <c r="AL59" s="2" t="n">
        <v>5</v>
      </c>
      <c r="AM59" s="5" t="n">
        <f aca="false">SUM(AG59:AL59)</f>
        <v>33</v>
      </c>
      <c r="AN59" s="5" t="str">
        <f aca="false">IF(AM59&gt;=80,"A",IF(AM59&gt;=60,"B","C"))</f>
        <v>C</v>
      </c>
      <c r="AO59" s="4"/>
      <c r="AP59" s="4" t="s">
        <v>542</v>
      </c>
      <c r="AQ59" s="2" t="s">
        <v>66</v>
      </c>
    </row>
    <row r="60" customFormat="false" ht="74.6" hidden="false" customHeight="false" outlineLevel="0" collapsed="false">
      <c r="A60" s="2" t="s">
        <v>543</v>
      </c>
      <c r="B60" s="2" t="s">
        <v>544</v>
      </c>
      <c r="C60" s="2"/>
      <c r="D60" s="2" t="s">
        <v>45</v>
      </c>
      <c r="E60" s="2" t="s">
        <v>545</v>
      </c>
      <c r="F60" s="2" t="s">
        <v>546</v>
      </c>
      <c r="G60" s="3" t="s">
        <v>47</v>
      </c>
      <c r="H60" s="2" t="n">
        <v>26.2993977448953</v>
      </c>
      <c r="I60" s="2" t="n">
        <v>50.2021336555481</v>
      </c>
      <c r="J60" s="2" t="s">
        <v>48</v>
      </c>
      <c r="K60" s="2" t="s">
        <v>49</v>
      </c>
      <c r="L60" s="2" t="s">
        <v>50</v>
      </c>
      <c r="M60" s="2"/>
      <c r="N60" s="2" t="n">
        <v>65</v>
      </c>
      <c r="O60" s="4" t="s">
        <v>547</v>
      </c>
      <c r="P60" s="4" t="s">
        <v>548</v>
      </c>
      <c r="Q60" s="2"/>
      <c r="R60" s="2"/>
      <c r="S60" s="2"/>
      <c r="T60" s="2"/>
      <c r="U60" s="2"/>
      <c r="V60" s="2"/>
      <c r="W60" s="2"/>
      <c r="X60" s="2"/>
      <c r="Y60" s="2"/>
      <c r="Z60" s="2"/>
      <c r="AA60" s="2"/>
      <c r="AB60" s="2"/>
      <c r="AC60" s="2" t="s">
        <v>77</v>
      </c>
      <c r="AD60" s="2"/>
      <c r="AE60" s="2" t="s">
        <v>153</v>
      </c>
      <c r="AF60" s="2" t="s">
        <v>241</v>
      </c>
      <c r="AG60" s="2" t="n">
        <v>10</v>
      </c>
      <c r="AH60" s="2" t="n">
        <v>8</v>
      </c>
      <c r="AI60" s="2" t="n">
        <v>20</v>
      </c>
      <c r="AJ60" s="2" t="n">
        <v>0</v>
      </c>
      <c r="AK60" s="2" t="n">
        <v>0</v>
      </c>
      <c r="AL60" s="2" t="n">
        <v>5</v>
      </c>
      <c r="AM60" s="5" t="n">
        <f aca="false">SUM(AG60:AL60)</f>
        <v>43</v>
      </c>
      <c r="AN60" s="5" t="str">
        <f aca="false">IF(AM60&gt;=80,"A",IF(AM60&gt;=60,"B","C"))</f>
        <v>C</v>
      </c>
      <c r="AO60" s="4"/>
      <c r="AP60" s="4" t="s">
        <v>549</v>
      </c>
      <c r="AQ60" s="2" t="s">
        <v>66</v>
      </c>
    </row>
    <row r="61" customFormat="false" ht="74.6" hidden="false" customHeight="false" outlineLevel="0" collapsed="false">
      <c r="A61" s="2" t="s">
        <v>550</v>
      </c>
      <c r="B61" s="2" t="s">
        <v>551</v>
      </c>
      <c r="C61" s="2"/>
      <c r="D61" s="2" t="s">
        <v>45</v>
      </c>
      <c r="E61" s="2" t="s">
        <v>222</v>
      </c>
      <c r="F61" s="2" t="s">
        <v>552</v>
      </c>
      <c r="G61" s="3" t="s">
        <v>47</v>
      </c>
      <c r="H61" s="2" t="n">
        <v>26.1090048272191</v>
      </c>
      <c r="I61" s="2" t="n">
        <v>50.1395628158569</v>
      </c>
      <c r="J61" s="2" t="s">
        <v>48</v>
      </c>
      <c r="K61" s="2" t="s">
        <v>49</v>
      </c>
      <c r="L61" s="2" t="s">
        <v>50</v>
      </c>
      <c r="M61" s="2"/>
      <c r="N61" s="2" t="n">
        <v>108</v>
      </c>
      <c r="O61" s="4"/>
      <c r="P61" s="4" t="s">
        <v>553</v>
      </c>
      <c r="Q61" s="2"/>
      <c r="R61" s="2"/>
      <c r="S61" s="2"/>
      <c r="T61" s="2"/>
      <c r="U61" s="2"/>
      <c r="V61" s="2"/>
      <c r="W61" s="2"/>
      <c r="X61" s="2"/>
      <c r="Y61" s="2"/>
      <c r="Z61" s="2"/>
      <c r="AA61" s="2"/>
      <c r="AB61" s="2"/>
      <c r="AC61" s="2" t="s">
        <v>77</v>
      </c>
      <c r="AD61" s="2"/>
      <c r="AE61" s="2" t="s">
        <v>153</v>
      </c>
      <c r="AF61" s="2" t="s">
        <v>241</v>
      </c>
      <c r="AG61" s="2" t="n">
        <v>15</v>
      </c>
      <c r="AH61" s="2" t="n">
        <v>8</v>
      </c>
      <c r="AI61" s="2" t="n">
        <v>20</v>
      </c>
      <c r="AJ61" s="2" t="n">
        <v>0</v>
      </c>
      <c r="AK61" s="2" t="n">
        <v>0</v>
      </c>
      <c r="AL61" s="2" t="n">
        <v>5</v>
      </c>
      <c r="AM61" s="5" t="n">
        <f aca="false">SUM(AG61:AL61)</f>
        <v>48</v>
      </c>
      <c r="AN61" s="5" t="str">
        <f aca="false">IF(AM61&gt;=80,"A",IF(AM61&gt;=60,"B","C"))</f>
        <v>C</v>
      </c>
      <c r="AO61" s="4"/>
      <c r="AP61" s="4" t="s">
        <v>554</v>
      </c>
      <c r="AQ61" s="2" t="s">
        <v>66</v>
      </c>
    </row>
    <row r="62" customFormat="false" ht="43.25" hidden="false" customHeight="false" outlineLevel="0" collapsed="false">
      <c r="A62" s="2" t="s">
        <v>555</v>
      </c>
      <c r="B62" s="2" t="s">
        <v>556</v>
      </c>
      <c r="C62" s="2"/>
      <c r="D62" s="2" t="s">
        <v>45</v>
      </c>
      <c r="E62" s="2" t="s">
        <v>340</v>
      </c>
      <c r="F62" s="2" t="s">
        <v>46</v>
      </c>
      <c r="G62" s="3" t="s">
        <v>47</v>
      </c>
      <c r="H62" s="2" t="n">
        <v>26.3263451047402</v>
      </c>
      <c r="I62" s="2" t="n">
        <v>50.1903963088989</v>
      </c>
      <c r="J62" s="2" t="s">
        <v>48</v>
      </c>
      <c r="K62" s="2" t="s">
        <v>49</v>
      </c>
      <c r="L62" s="2" t="s">
        <v>50</v>
      </c>
      <c r="M62" s="2"/>
      <c r="N62" s="2" t="n">
        <v>33</v>
      </c>
      <c r="O62" s="4" t="s">
        <v>557</v>
      </c>
      <c r="P62" s="4" t="s">
        <v>558</v>
      </c>
      <c r="Q62" s="2"/>
      <c r="R62" s="2"/>
      <c r="S62" s="2"/>
      <c r="T62" s="2"/>
      <c r="U62" s="2"/>
      <c r="V62" s="2"/>
      <c r="W62" s="2"/>
      <c r="X62" s="2"/>
      <c r="Y62" s="2"/>
      <c r="Z62" s="2"/>
      <c r="AA62" s="2"/>
      <c r="AB62" s="2"/>
      <c r="AC62" s="2" t="s">
        <v>77</v>
      </c>
      <c r="AD62" s="2"/>
      <c r="AE62" s="2" t="s">
        <v>153</v>
      </c>
      <c r="AF62" s="2" t="s">
        <v>241</v>
      </c>
      <c r="AG62" s="2" t="n">
        <v>5</v>
      </c>
      <c r="AH62" s="2" t="n">
        <v>8</v>
      </c>
      <c r="AI62" s="2" t="n">
        <v>20</v>
      </c>
      <c r="AJ62" s="2" t="n">
        <v>0</v>
      </c>
      <c r="AK62" s="2" t="n">
        <v>0</v>
      </c>
      <c r="AL62" s="2" t="n">
        <v>5</v>
      </c>
      <c r="AM62" s="5" t="n">
        <f aca="false">SUM(AG62:AL62)</f>
        <v>38</v>
      </c>
      <c r="AN62" s="5" t="str">
        <f aca="false">IF(AM62&gt;=80,"A",IF(AM62&gt;=60,"B","C"))</f>
        <v>C</v>
      </c>
      <c r="AO62" s="4"/>
      <c r="AP62" s="4" t="s">
        <v>559</v>
      </c>
      <c r="AQ62" s="2" t="s">
        <v>66</v>
      </c>
    </row>
    <row r="63" customFormat="false" ht="43.25" hidden="false" customHeight="false" outlineLevel="0" collapsed="false">
      <c r="A63" s="2" t="s">
        <v>560</v>
      </c>
      <c r="B63" s="2" t="s">
        <v>561</v>
      </c>
      <c r="C63" s="2"/>
      <c r="D63" s="2" t="s">
        <v>45</v>
      </c>
      <c r="E63" s="2" t="s">
        <v>562</v>
      </c>
      <c r="F63" s="2" t="s">
        <v>563</v>
      </c>
      <c r="G63" s="3" t="s">
        <v>47</v>
      </c>
      <c r="H63" s="2" t="n">
        <v>26.3258820968871</v>
      </c>
      <c r="I63" s="2" t="n">
        <v>50.1973590557099</v>
      </c>
      <c r="J63" s="2" t="s">
        <v>119</v>
      </c>
      <c r="K63" s="2" t="s">
        <v>49</v>
      </c>
      <c r="L63" s="2" t="s">
        <v>50</v>
      </c>
      <c r="M63" s="2"/>
      <c r="N63" s="2"/>
      <c r="O63" s="4" t="s">
        <v>564</v>
      </c>
      <c r="P63" s="4" t="s">
        <v>565</v>
      </c>
      <c r="Q63" s="2"/>
      <c r="R63" s="2"/>
      <c r="S63" s="2"/>
      <c r="T63" s="2"/>
      <c r="U63" s="2"/>
      <c r="V63" s="2"/>
      <c r="W63" s="2"/>
      <c r="X63" s="2"/>
      <c r="Y63" s="2"/>
      <c r="Z63" s="2"/>
      <c r="AA63" s="2"/>
      <c r="AB63" s="2"/>
      <c r="AC63" s="2" t="s">
        <v>77</v>
      </c>
      <c r="AD63" s="2"/>
      <c r="AE63" s="2" t="s">
        <v>153</v>
      </c>
      <c r="AF63" s="2" t="s">
        <v>241</v>
      </c>
      <c r="AG63" s="2" t="n">
        <v>0</v>
      </c>
      <c r="AH63" s="2" t="n">
        <v>8</v>
      </c>
      <c r="AI63" s="2" t="n">
        <v>20</v>
      </c>
      <c r="AJ63" s="2" t="n">
        <v>0</v>
      </c>
      <c r="AK63" s="2" t="n">
        <v>0</v>
      </c>
      <c r="AL63" s="2" t="n">
        <v>5</v>
      </c>
      <c r="AM63" s="5" t="n">
        <f aca="false">SUM(AG63:AL63)</f>
        <v>33</v>
      </c>
      <c r="AN63" s="5" t="str">
        <f aca="false">IF(AM63&gt;=80,"A",IF(AM63&gt;=60,"B","C"))</f>
        <v>C</v>
      </c>
      <c r="AO63" s="4"/>
      <c r="AP63" s="4" t="s">
        <v>566</v>
      </c>
      <c r="AQ63" s="2" t="s">
        <v>66</v>
      </c>
    </row>
    <row r="64" customFormat="false" ht="43.25" hidden="false" customHeight="false" outlineLevel="0" collapsed="false">
      <c r="A64" s="2" t="s">
        <v>567</v>
      </c>
      <c r="B64" s="2" t="s">
        <v>568</v>
      </c>
      <c r="C64" s="2"/>
      <c r="D64" s="2" t="s">
        <v>45</v>
      </c>
      <c r="E64" s="2" t="s">
        <v>569</v>
      </c>
      <c r="F64" s="2" t="s">
        <v>570</v>
      </c>
      <c r="G64" s="3" t="s">
        <v>47</v>
      </c>
      <c r="H64" s="2" t="n">
        <v>26.1897391413111</v>
      </c>
      <c r="I64" s="2" t="n">
        <v>50.2115962211609</v>
      </c>
      <c r="J64" s="2" t="s">
        <v>571</v>
      </c>
      <c r="K64" s="2" t="s">
        <v>49</v>
      </c>
      <c r="L64" s="2" t="s">
        <v>50</v>
      </c>
      <c r="M64" s="2"/>
      <c r="N64" s="2"/>
      <c r="O64" s="4" t="s">
        <v>572</v>
      </c>
      <c r="P64" s="4" t="s">
        <v>573</v>
      </c>
      <c r="Q64" s="2"/>
      <c r="R64" s="2"/>
      <c r="S64" s="2"/>
      <c r="T64" s="2"/>
      <c r="U64" s="2"/>
      <c r="V64" s="2"/>
      <c r="W64" s="2"/>
      <c r="X64" s="2"/>
      <c r="Y64" s="2"/>
      <c r="Z64" s="2"/>
      <c r="AA64" s="2"/>
      <c r="AB64" s="2"/>
      <c r="AC64" s="2" t="s">
        <v>77</v>
      </c>
      <c r="AD64" s="2"/>
      <c r="AE64" s="2" t="s">
        <v>153</v>
      </c>
      <c r="AF64" s="2" t="s">
        <v>241</v>
      </c>
      <c r="AG64" s="2" t="n">
        <v>0</v>
      </c>
      <c r="AH64" s="2" t="n">
        <v>8</v>
      </c>
      <c r="AI64" s="2" t="n">
        <v>20</v>
      </c>
      <c r="AJ64" s="2" t="n">
        <v>0</v>
      </c>
      <c r="AK64" s="2" t="n">
        <v>0</v>
      </c>
      <c r="AL64" s="2" t="n">
        <v>5</v>
      </c>
      <c r="AM64" s="5" t="n">
        <f aca="false">SUM(AG64:AL64)</f>
        <v>33</v>
      </c>
      <c r="AN64" s="5" t="str">
        <f aca="false">IF(AM64&gt;=80,"A",IF(AM64&gt;=60,"B","C"))</f>
        <v>C</v>
      </c>
      <c r="AO64" s="4"/>
      <c r="AP64" s="4" t="s">
        <v>574</v>
      </c>
      <c r="AQ64" s="2" t="s">
        <v>66</v>
      </c>
    </row>
    <row r="65" customFormat="false" ht="43.25" hidden="false" customHeight="false" outlineLevel="0" collapsed="false">
      <c r="A65" s="2" t="s">
        <v>575</v>
      </c>
      <c r="B65" s="2" t="s">
        <v>576</v>
      </c>
      <c r="C65" s="2"/>
      <c r="D65" s="2" t="s">
        <v>45</v>
      </c>
      <c r="E65" s="2" t="s">
        <v>222</v>
      </c>
      <c r="F65" s="2" t="s">
        <v>577</v>
      </c>
      <c r="G65" s="3" t="s">
        <v>47</v>
      </c>
      <c r="H65" s="2" t="n">
        <v>26.1878680369865</v>
      </c>
      <c r="I65" s="2" t="n">
        <v>50.1795387268066</v>
      </c>
      <c r="J65" s="2" t="s">
        <v>119</v>
      </c>
      <c r="K65" s="2" t="s">
        <v>49</v>
      </c>
      <c r="L65" s="2" t="s">
        <v>50</v>
      </c>
      <c r="M65" s="2"/>
      <c r="N65" s="2"/>
      <c r="O65" s="4"/>
      <c r="P65" s="4" t="s">
        <v>578</v>
      </c>
      <c r="Q65" s="2"/>
      <c r="R65" s="2"/>
      <c r="S65" s="2"/>
      <c r="T65" s="2"/>
      <c r="U65" s="2"/>
      <c r="V65" s="2"/>
      <c r="W65" s="2"/>
      <c r="X65" s="2"/>
      <c r="Y65" s="2"/>
      <c r="Z65" s="2"/>
      <c r="AA65" s="2"/>
      <c r="AB65" s="2"/>
      <c r="AC65" s="2" t="s">
        <v>77</v>
      </c>
      <c r="AD65" s="2"/>
      <c r="AE65" s="2" t="s">
        <v>153</v>
      </c>
      <c r="AF65" s="2" t="s">
        <v>241</v>
      </c>
      <c r="AG65" s="2" t="n">
        <v>0</v>
      </c>
      <c r="AH65" s="2" t="n">
        <v>8</v>
      </c>
      <c r="AI65" s="2" t="n">
        <v>20</v>
      </c>
      <c r="AJ65" s="2" t="n">
        <v>0</v>
      </c>
      <c r="AK65" s="2" t="n">
        <v>0</v>
      </c>
      <c r="AL65" s="2" t="n">
        <v>5</v>
      </c>
      <c r="AM65" s="5" t="n">
        <f aca="false">SUM(AG65:AL65)</f>
        <v>33</v>
      </c>
      <c r="AN65" s="5" t="str">
        <f aca="false">IF(AM65&gt;=80,"A",IF(AM65&gt;=60,"B","C"))</f>
        <v>C</v>
      </c>
      <c r="AO65" s="4"/>
      <c r="AP65" s="4" t="s">
        <v>579</v>
      </c>
      <c r="AQ65" s="2" t="s">
        <v>66</v>
      </c>
    </row>
    <row r="66" customFormat="false" ht="32.8" hidden="false" customHeight="false" outlineLevel="0" collapsed="false">
      <c r="A66" s="2" t="s">
        <v>580</v>
      </c>
      <c r="B66" s="2" t="s">
        <v>581</v>
      </c>
      <c r="C66" s="2"/>
      <c r="D66" s="2" t="s">
        <v>45</v>
      </c>
      <c r="E66" s="2" t="s">
        <v>582</v>
      </c>
      <c r="F66" s="2" t="s">
        <v>46</v>
      </c>
      <c r="G66" s="3" t="s">
        <v>47</v>
      </c>
      <c r="H66" s="2" t="n">
        <v>26.3177672533831</v>
      </c>
      <c r="I66" s="2" t="n">
        <v>50.184817314148</v>
      </c>
      <c r="J66" s="2" t="s">
        <v>119</v>
      </c>
      <c r="K66" s="2" t="s">
        <v>49</v>
      </c>
      <c r="L66" s="2" t="s">
        <v>50</v>
      </c>
      <c r="M66" s="2"/>
      <c r="N66" s="2"/>
      <c r="O66" s="4"/>
      <c r="P66" s="4" t="s">
        <v>583</v>
      </c>
      <c r="Q66" s="2"/>
      <c r="R66" s="2"/>
      <c r="S66" s="2"/>
      <c r="T66" s="2"/>
      <c r="U66" s="2"/>
      <c r="V66" s="2"/>
      <c r="W66" s="2"/>
      <c r="X66" s="2"/>
      <c r="Y66" s="2"/>
      <c r="Z66" s="2"/>
      <c r="AA66" s="2"/>
      <c r="AB66" s="2"/>
      <c r="AC66" s="2" t="s">
        <v>77</v>
      </c>
      <c r="AD66" s="2"/>
      <c r="AE66" s="2" t="s">
        <v>153</v>
      </c>
      <c r="AF66" s="2" t="s">
        <v>241</v>
      </c>
      <c r="AG66" s="2" t="n">
        <v>0</v>
      </c>
      <c r="AH66" s="2" t="n">
        <v>8</v>
      </c>
      <c r="AI66" s="2" t="n">
        <v>20</v>
      </c>
      <c r="AJ66" s="2" t="n">
        <v>0</v>
      </c>
      <c r="AK66" s="2" t="n">
        <v>0</v>
      </c>
      <c r="AL66" s="2" t="n">
        <v>5</v>
      </c>
      <c r="AM66" s="5" t="n">
        <f aca="false">SUM(AG66:AL66)</f>
        <v>33</v>
      </c>
      <c r="AN66" s="5" t="str">
        <f aca="false">IF(AM66&gt;=80,"A",IF(AM66&gt;=60,"B","C"))</f>
        <v>C</v>
      </c>
      <c r="AO66" s="4"/>
      <c r="AP66" s="4" t="s">
        <v>584</v>
      </c>
      <c r="AQ66" s="2" t="s">
        <v>66</v>
      </c>
    </row>
    <row r="67" customFormat="false" ht="74.6" hidden="false" customHeight="false" outlineLevel="0" collapsed="false">
      <c r="A67" s="2" t="s">
        <v>585</v>
      </c>
      <c r="B67" s="2" t="s">
        <v>586</v>
      </c>
      <c r="C67" s="2"/>
      <c r="D67" s="2" t="s">
        <v>45</v>
      </c>
      <c r="E67" s="2" t="s">
        <v>167</v>
      </c>
      <c r="F67" s="2" t="s">
        <v>587</v>
      </c>
      <c r="G67" s="3" t="s">
        <v>47</v>
      </c>
      <c r="H67" s="2" t="n">
        <v>26.3396563516072</v>
      </c>
      <c r="I67" s="2" t="n">
        <v>50.2035281364441</v>
      </c>
      <c r="J67" s="2" t="s">
        <v>119</v>
      </c>
      <c r="K67" s="2" t="s">
        <v>49</v>
      </c>
      <c r="L67" s="2" t="s">
        <v>50</v>
      </c>
      <c r="M67" s="2"/>
      <c r="N67" s="2"/>
      <c r="O67" s="4"/>
      <c r="P67" s="4" t="s">
        <v>588</v>
      </c>
      <c r="Q67" s="2"/>
      <c r="R67" s="2"/>
      <c r="S67" s="2"/>
      <c r="T67" s="2"/>
      <c r="U67" s="2"/>
      <c r="V67" s="2"/>
      <c r="W67" s="2"/>
      <c r="X67" s="2"/>
      <c r="Y67" s="2"/>
      <c r="Z67" s="2"/>
      <c r="AA67" s="2"/>
      <c r="AB67" s="2"/>
      <c r="AC67" s="2" t="s">
        <v>77</v>
      </c>
      <c r="AD67" s="2"/>
      <c r="AE67" s="2" t="s">
        <v>153</v>
      </c>
      <c r="AF67" s="2" t="s">
        <v>241</v>
      </c>
      <c r="AG67" s="2" t="n">
        <v>0</v>
      </c>
      <c r="AH67" s="2" t="n">
        <v>8</v>
      </c>
      <c r="AI67" s="2" t="n">
        <v>20</v>
      </c>
      <c r="AJ67" s="2" t="n">
        <v>0</v>
      </c>
      <c r="AK67" s="2" t="n">
        <v>0</v>
      </c>
      <c r="AL67" s="2" t="n">
        <v>5</v>
      </c>
      <c r="AM67" s="5" t="n">
        <f aca="false">SUM(AG67:AL67)</f>
        <v>33</v>
      </c>
      <c r="AN67" s="5" t="str">
        <f aca="false">IF(AM67&gt;=80,"A",IF(AM67&gt;=60,"B","C"))</f>
        <v>C</v>
      </c>
      <c r="AO67" s="4"/>
      <c r="AP67" s="4" t="s">
        <v>589</v>
      </c>
      <c r="AQ67" s="2" t="s">
        <v>66</v>
      </c>
    </row>
    <row r="68" customFormat="false" ht="43.25" hidden="false" customHeight="false" outlineLevel="0" collapsed="false">
      <c r="A68" s="2" t="s">
        <v>590</v>
      </c>
      <c r="B68" s="2" t="s">
        <v>591</v>
      </c>
      <c r="C68" s="2"/>
      <c r="D68" s="2" t="s">
        <v>45</v>
      </c>
      <c r="E68" s="2" t="s">
        <v>592</v>
      </c>
      <c r="F68" s="2" t="s">
        <v>593</v>
      </c>
      <c r="G68" s="3" t="s">
        <v>47</v>
      </c>
      <c r="H68" s="2" t="n">
        <v>26.3266262253037</v>
      </c>
      <c r="I68" s="2" t="n">
        <v>50.2154615247929</v>
      </c>
      <c r="J68" s="2" t="s">
        <v>277</v>
      </c>
      <c r="K68" s="2" t="s">
        <v>49</v>
      </c>
      <c r="L68" s="2" t="s">
        <v>50</v>
      </c>
      <c r="M68" s="2"/>
      <c r="N68" s="2"/>
      <c r="O68" s="4"/>
      <c r="P68" s="4" t="s">
        <v>594</v>
      </c>
      <c r="Q68" s="2"/>
      <c r="R68" s="2"/>
      <c r="S68" s="2"/>
      <c r="T68" s="2"/>
      <c r="U68" s="2"/>
      <c r="V68" s="2"/>
      <c r="W68" s="2"/>
      <c r="X68" s="2"/>
      <c r="Y68" s="2"/>
      <c r="Z68" s="2"/>
      <c r="AA68" s="2"/>
      <c r="AB68" s="2"/>
      <c r="AC68" s="2" t="s">
        <v>77</v>
      </c>
      <c r="AD68" s="2"/>
      <c r="AE68" s="2" t="s">
        <v>153</v>
      </c>
      <c r="AF68" s="2" t="s">
        <v>241</v>
      </c>
      <c r="AG68" s="2" t="n">
        <v>0</v>
      </c>
      <c r="AH68" s="2" t="n">
        <v>8</v>
      </c>
      <c r="AI68" s="2" t="n">
        <v>20</v>
      </c>
      <c r="AJ68" s="2" t="n">
        <v>0</v>
      </c>
      <c r="AK68" s="2" t="n">
        <v>0</v>
      </c>
      <c r="AL68" s="2" t="n">
        <v>5</v>
      </c>
      <c r="AM68" s="5" t="n">
        <f aca="false">SUM(AG68:AL68)</f>
        <v>33</v>
      </c>
      <c r="AN68" s="5" t="str">
        <f aca="false">IF(AM68&gt;=80,"A",IF(AM68&gt;=60,"B","C"))</f>
        <v>C</v>
      </c>
      <c r="AO68" s="4"/>
      <c r="AP68" s="4" t="s">
        <v>595</v>
      </c>
      <c r="AQ68" s="2" t="s">
        <v>66</v>
      </c>
    </row>
    <row r="69" customFormat="false" ht="74.6" hidden="false" customHeight="false" outlineLevel="0" collapsed="false">
      <c r="A69" s="2" t="s">
        <v>596</v>
      </c>
      <c r="B69" s="2" t="s">
        <v>597</v>
      </c>
      <c r="C69" s="2"/>
      <c r="D69" s="2" t="s">
        <v>45</v>
      </c>
      <c r="E69" s="2" t="s">
        <v>598</v>
      </c>
      <c r="F69" s="2" t="s">
        <v>599</v>
      </c>
      <c r="G69" s="3" t="s">
        <v>47</v>
      </c>
      <c r="H69" s="2" t="n">
        <v>26.3307251413971</v>
      </c>
      <c r="I69" s="2" t="n">
        <v>50.1857721805573</v>
      </c>
      <c r="J69" s="2" t="s">
        <v>48</v>
      </c>
      <c r="K69" s="2" t="s">
        <v>49</v>
      </c>
      <c r="L69" s="2" t="s">
        <v>50</v>
      </c>
      <c r="M69" s="2"/>
      <c r="N69" s="2"/>
      <c r="O69" s="4"/>
      <c r="P69" s="4" t="s">
        <v>600</v>
      </c>
      <c r="Q69" s="2"/>
      <c r="R69" s="2"/>
      <c r="S69" s="2"/>
      <c r="T69" s="2"/>
      <c r="U69" s="2"/>
      <c r="V69" s="2"/>
      <c r="W69" s="2"/>
      <c r="X69" s="2"/>
      <c r="Y69" s="2"/>
      <c r="Z69" s="2"/>
      <c r="AA69" s="2"/>
      <c r="AB69" s="2"/>
      <c r="AC69" s="2" t="s">
        <v>77</v>
      </c>
      <c r="AD69" s="2"/>
      <c r="AE69" s="2" t="s">
        <v>153</v>
      </c>
      <c r="AF69" s="2" t="s">
        <v>241</v>
      </c>
      <c r="AG69" s="2" t="n">
        <v>0</v>
      </c>
      <c r="AH69" s="2" t="n">
        <v>8</v>
      </c>
      <c r="AI69" s="2" t="n">
        <v>20</v>
      </c>
      <c r="AJ69" s="2" t="n">
        <v>0</v>
      </c>
      <c r="AK69" s="2" t="n">
        <v>0</v>
      </c>
      <c r="AL69" s="2" t="n">
        <v>5</v>
      </c>
      <c r="AM69" s="5" t="n">
        <f aca="false">SUM(AG69:AL69)</f>
        <v>33</v>
      </c>
      <c r="AN69" s="5" t="str">
        <f aca="false">IF(AM69&gt;=80,"A",IF(AM69&gt;=60,"B","C"))</f>
        <v>C</v>
      </c>
      <c r="AO69" s="4"/>
      <c r="AP69" s="4" t="s">
        <v>601</v>
      </c>
      <c r="AQ69" s="2" t="s">
        <v>66</v>
      </c>
    </row>
    <row r="70" customFormat="false" ht="74.6" hidden="false" customHeight="false" outlineLevel="0" collapsed="false">
      <c r="A70" s="2" t="s">
        <v>602</v>
      </c>
      <c r="B70" s="2" t="s">
        <v>603</v>
      </c>
      <c r="C70" s="2"/>
      <c r="D70" s="2" t="s">
        <v>45</v>
      </c>
      <c r="E70" s="2" t="s">
        <v>604</v>
      </c>
      <c r="F70" s="2" t="s">
        <v>604</v>
      </c>
      <c r="G70" s="3" t="s">
        <v>47</v>
      </c>
      <c r="H70" s="2" t="n">
        <v>26.3208295577421</v>
      </c>
      <c r="I70" s="2" t="n">
        <v>50.2175089584895</v>
      </c>
      <c r="J70" s="2" t="s">
        <v>119</v>
      </c>
      <c r="K70" s="2" t="s">
        <v>49</v>
      </c>
      <c r="L70" s="2" t="s">
        <v>50</v>
      </c>
      <c r="M70" s="2"/>
      <c r="N70" s="2"/>
      <c r="O70" s="4"/>
      <c r="P70" s="4" t="s">
        <v>605</v>
      </c>
      <c r="Q70" s="2"/>
      <c r="R70" s="2"/>
      <c r="S70" s="2"/>
      <c r="T70" s="2"/>
      <c r="U70" s="2"/>
      <c r="V70" s="2"/>
      <c r="W70" s="2"/>
      <c r="X70" s="2"/>
      <c r="Y70" s="2"/>
      <c r="Z70" s="2"/>
      <c r="AA70" s="2"/>
      <c r="AB70" s="2"/>
      <c r="AC70" s="2" t="s">
        <v>77</v>
      </c>
      <c r="AD70" s="2"/>
      <c r="AE70" s="2" t="s">
        <v>153</v>
      </c>
      <c r="AF70" s="2" t="s">
        <v>241</v>
      </c>
      <c r="AG70" s="2" t="n">
        <v>0</v>
      </c>
      <c r="AH70" s="2" t="n">
        <v>8</v>
      </c>
      <c r="AI70" s="2" t="n">
        <v>20</v>
      </c>
      <c r="AJ70" s="2" t="n">
        <v>0</v>
      </c>
      <c r="AK70" s="2" t="n">
        <v>0</v>
      </c>
      <c r="AL70" s="2" t="n">
        <v>5</v>
      </c>
      <c r="AM70" s="5" t="n">
        <f aca="false">SUM(AG70:AL70)</f>
        <v>33</v>
      </c>
      <c r="AN70" s="5" t="str">
        <f aca="false">IF(AM70&gt;=80,"A",IF(AM70&gt;=60,"B","C"))</f>
        <v>C</v>
      </c>
      <c r="AO70" s="4"/>
      <c r="AP70" s="4" t="s">
        <v>606</v>
      </c>
      <c r="AQ70" s="2" t="s">
        <v>66</v>
      </c>
    </row>
    <row r="71" customFormat="false" ht="74.6" hidden="false" customHeight="false" outlineLevel="0" collapsed="false">
      <c r="A71" s="2" t="s">
        <v>607</v>
      </c>
      <c r="B71" s="2" t="s">
        <v>608</v>
      </c>
      <c r="C71" s="2"/>
      <c r="D71" s="2" t="s">
        <v>45</v>
      </c>
      <c r="E71" s="2"/>
      <c r="F71" s="2" t="s">
        <v>45</v>
      </c>
      <c r="G71" s="3" t="s">
        <v>47</v>
      </c>
      <c r="H71" s="2" t="n">
        <v>26.3316145907296</v>
      </c>
      <c r="I71" s="2" t="n">
        <v>50.1913189888001</v>
      </c>
      <c r="J71" s="2" t="s">
        <v>119</v>
      </c>
      <c r="K71" s="2" t="s">
        <v>49</v>
      </c>
      <c r="L71" s="2" t="s">
        <v>50</v>
      </c>
      <c r="M71" s="2"/>
      <c r="N71" s="2"/>
      <c r="O71" s="4"/>
      <c r="P71" s="4" t="s">
        <v>609</v>
      </c>
      <c r="Q71" s="2"/>
      <c r="R71" s="2"/>
      <c r="S71" s="2"/>
      <c r="T71" s="2"/>
      <c r="U71" s="2"/>
      <c r="V71" s="2"/>
      <c r="W71" s="2"/>
      <c r="X71" s="2"/>
      <c r="Y71" s="2"/>
      <c r="Z71" s="2"/>
      <c r="AA71" s="2"/>
      <c r="AB71" s="2"/>
      <c r="AC71" s="2" t="s">
        <v>77</v>
      </c>
      <c r="AD71" s="2"/>
      <c r="AE71" s="2" t="s">
        <v>153</v>
      </c>
      <c r="AF71" s="2" t="s">
        <v>241</v>
      </c>
      <c r="AG71" s="2" t="n">
        <v>0</v>
      </c>
      <c r="AH71" s="2" t="n">
        <v>8</v>
      </c>
      <c r="AI71" s="2" t="n">
        <v>20</v>
      </c>
      <c r="AJ71" s="2" t="n">
        <v>0</v>
      </c>
      <c r="AK71" s="2" t="n">
        <v>0</v>
      </c>
      <c r="AL71" s="2" t="n">
        <v>5</v>
      </c>
      <c r="AM71" s="5" t="n">
        <f aca="false">SUM(AG71:AL71)</f>
        <v>33</v>
      </c>
      <c r="AN71" s="5" t="str">
        <f aca="false">IF(AM71&gt;=80,"A",IF(AM71&gt;=60,"B","C"))</f>
        <v>C</v>
      </c>
      <c r="AO71" s="4"/>
      <c r="AP71" s="4" t="s">
        <v>610</v>
      </c>
      <c r="AQ71" s="2" t="s">
        <v>66</v>
      </c>
    </row>
    <row r="72" customFormat="false" ht="74.6" hidden="false" customHeight="false" outlineLevel="0" collapsed="false">
      <c r="A72" s="2" t="s">
        <v>611</v>
      </c>
      <c r="B72" s="2" t="s">
        <v>612</v>
      </c>
      <c r="C72" s="2"/>
      <c r="D72" s="2" t="s">
        <v>45</v>
      </c>
      <c r="E72" s="2" t="s">
        <v>613</v>
      </c>
      <c r="F72" s="2" t="s">
        <v>614</v>
      </c>
      <c r="G72" s="3" t="s">
        <v>47</v>
      </c>
      <c r="H72" s="2" t="n">
        <v>26.3171517777392</v>
      </c>
      <c r="I72" s="2" t="n">
        <v>50.2198147773743</v>
      </c>
      <c r="J72" s="2" t="s">
        <v>119</v>
      </c>
      <c r="K72" s="2" t="s">
        <v>49</v>
      </c>
      <c r="L72" s="2" t="s">
        <v>615</v>
      </c>
      <c r="M72" s="2"/>
      <c r="N72" s="2"/>
      <c r="O72" s="4"/>
      <c r="P72" s="4" t="s">
        <v>616</v>
      </c>
      <c r="Q72" s="2"/>
      <c r="R72" s="2"/>
      <c r="S72" s="2"/>
      <c r="T72" s="2"/>
      <c r="U72" s="2"/>
      <c r="V72" s="2"/>
      <c r="W72" s="2"/>
      <c r="X72" s="2"/>
      <c r="Y72" s="2"/>
      <c r="Z72" s="2"/>
      <c r="AA72" s="2"/>
      <c r="AB72" s="2"/>
      <c r="AC72" s="2" t="s">
        <v>77</v>
      </c>
      <c r="AD72" s="2"/>
      <c r="AE72" s="2" t="s">
        <v>153</v>
      </c>
      <c r="AF72" s="2" t="s">
        <v>241</v>
      </c>
      <c r="AG72" s="2" t="n">
        <v>0</v>
      </c>
      <c r="AH72" s="2" t="n">
        <v>13</v>
      </c>
      <c r="AI72" s="2" t="n">
        <v>20</v>
      </c>
      <c r="AJ72" s="2" t="n">
        <v>0</v>
      </c>
      <c r="AK72" s="2" t="n">
        <v>0</v>
      </c>
      <c r="AL72" s="2" t="n">
        <v>10</v>
      </c>
      <c r="AM72" s="5" t="n">
        <f aca="false">SUM(AG72:AL72)</f>
        <v>43</v>
      </c>
      <c r="AN72" s="5" t="str">
        <f aca="false">IF(AM72&gt;=80,"A",IF(AM72&gt;=60,"B","C"))</f>
        <v>C</v>
      </c>
      <c r="AO72" s="4"/>
      <c r="AP72" s="4" t="s">
        <v>617</v>
      </c>
      <c r="AQ72" s="2" t="s">
        <v>66</v>
      </c>
    </row>
    <row r="73" customFormat="false" ht="74.6" hidden="false" customHeight="false" outlineLevel="0" collapsed="false">
      <c r="A73" s="2" t="s">
        <v>618</v>
      </c>
      <c r="B73" s="2" t="s">
        <v>619</v>
      </c>
      <c r="C73" s="2"/>
      <c r="D73" s="2" t="s">
        <v>45</v>
      </c>
      <c r="E73" s="2" t="s">
        <v>620</v>
      </c>
      <c r="F73" s="2" t="s">
        <v>621</v>
      </c>
      <c r="G73" s="3" t="s">
        <v>47</v>
      </c>
      <c r="H73" s="2" t="n">
        <v>26.3663410402545</v>
      </c>
      <c r="I73" s="2" t="n">
        <v>50.2061462402344</v>
      </c>
      <c r="J73" s="2" t="s">
        <v>119</v>
      </c>
      <c r="K73" s="2" t="s">
        <v>49</v>
      </c>
      <c r="L73" s="2" t="s">
        <v>50</v>
      </c>
      <c r="M73" s="2"/>
      <c r="N73" s="2"/>
      <c r="O73" s="4"/>
      <c r="P73" s="4" t="s">
        <v>622</v>
      </c>
      <c r="Q73" s="2"/>
      <c r="R73" s="2"/>
      <c r="S73" s="2"/>
      <c r="T73" s="2"/>
      <c r="U73" s="2"/>
      <c r="V73" s="2"/>
      <c r="W73" s="2"/>
      <c r="X73" s="2"/>
      <c r="Y73" s="2"/>
      <c r="Z73" s="2"/>
      <c r="AA73" s="2"/>
      <c r="AB73" s="2"/>
      <c r="AC73" s="2" t="s">
        <v>77</v>
      </c>
      <c r="AD73" s="2"/>
      <c r="AE73" s="2" t="s">
        <v>153</v>
      </c>
      <c r="AF73" s="2" t="s">
        <v>241</v>
      </c>
      <c r="AG73" s="2" t="n">
        <v>0</v>
      </c>
      <c r="AH73" s="2" t="n">
        <v>8</v>
      </c>
      <c r="AI73" s="2" t="n">
        <v>20</v>
      </c>
      <c r="AJ73" s="2" t="n">
        <v>0</v>
      </c>
      <c r="AK73" s="2" t="n">
        <v>0</v>
      </c>
      <c r="AL73" s="2" t="n">
        <v>5</v>
      </c>
      <c r="AM73" s="5" t="n">
        <f aca="false">SUM(AG73:AL73)</f>
        <v>33</v>
      </c>
      <c r="AN73" s="5" t="str">
        <f aca="false">IF(AM73&gt;=80,"A",IF(AM73&gt;=60,"B","C"))</f>
        <v>C</v>
      </c>
      <c r="AO73" s="4" t="s">
        <v>623</v>
      </c>
      <c r="AP73" s="4" t="s">
        <v>624</v>
      </c>
      <c r="AQ73" s="2" t="s">
        <v>66</v>
      </c>
    </row>
    <row r="74" customFormat="false" ht="74.6" hidden="false" customHeight="false" outlineLevel="0" collapsed="false">
      <c r="A74" s="2" t="s">
        <v>625</v>
      </c>
      <c r="B74" s="2" t="s">
        <v>626</v>
      </c>
      <c r="C74" s="2"/>
      <c r="D74" s="2" t="s">
        <v>347</v>
      </c>
      <c r="E74" s="2" t="s">
        <v>627</v>
      </c>
      <c r="F74" s="2" t="s">
        <v>628</v>
      </c>
      <c r="G74" s="3" t="s">
        <v>47</v>
      </c>
      <c r="H74" s="2" t="n">
        <v>26.3416913339346</v>
      </c>
      <c r="I74" s="2" t="n">
        <v>50.1510000228882</v>
      </c>
      <c r="J74" s="2" t="s">
        <v>119</v>
      </c>
      <c r="K74" s="2" t="s">
        <v>49</v>
      </c>
      <c r="L74" s="2" t="s">
        <v>50</v>
      </c>
      <c r="M74" s="2"/>
      <c r="N74" s="2"/>
      <c r="O74" s="4"/>
      <c r="P74" s="4" t="s">
        <v>629</v>
      </c>
      <c r="Q74" s="2"/>
      <c r="R74" s="2"/>
      <c r="S74" s="2"/>
      <c r="T74" s="2"/>
      <c r="U74" s="2"/>
      <c r="V74" s="2"/>
      <c r="W74" s="2"/>
      <c r="X74" s="2"/>
      <c r="Y74" s="2"/>
      <c r="Z74" s="2"/>
      <c r="AA74" s="2"/>
      <c r="AB74" s="2"/>
      <c r="AC74" s="2" t="s">
        <v>77</v>
      </c>
      <c r="AD74" s="2"/>
      <c r="AE74" s="2" t="s">
        <v>153</v>
      </c>
      <c r="AF74" s="2" t="s">
        <v>241</v>
      </c>
      <c r="AG74" s="2" t="n">
        <v>0</v>
      </c>
      <c r="AH74" s="2" t="n">
        <v>8</v>
      </c>
      <c r="AI74" s="2" t="n">
        <v>20</v>
      </c>
      <c r="AJ74" s="2" t="n">
        <v>0</v>
      </c>
      <c r="AK74" s="2" t="n">
        <v>0</v>
      </c>
      <c r="AL74" s="2" t="n">
        <v>5</v>
      </c>
      <c r="AM74" s="5" t="n">
        <f aca="false">SUM(AG74:AL74)</f>
        <v>33</v>
      </c>
      <c r="AN74" s="5" t="str">
        <f aca="false">IF(AM74&gt;=80,"A",IF(AM74&gt;=60,"B","C"))</f>
        <v>C</v>
      </c>
      <c r="AO74" s="4"/>
      <c r="AP74" s="4" t="s">
        <v>630</v>
      </c>
      <c r="AQ74" s="2" t="s">
        <v>66</v>
      </c>
    </row>
    <row r="75" customFormat="false" ht="22.35" hidden="false" customHeight="false" outlineLevel="0" collapsed="false">
      <c r="A75" s="2" t="s">
        <v>631</v>
      </c>
      <c r="B75" s="2" t="s">
        <v>632</v>
      </c>
      <c r="C75" s="2"/>
      <c r="D75" s="2" t="s">
        <v>45</v>
      </c>
      <c r="E75" s="2" t="s">
        <v>633</v>
      </c>
      <c r="F75" s="2" t="s">
        <v>634</v>
      </c>
      <c r="G75" s="3" t="s">
        <v>47</v>
      </c>
      <c r="H75" s="2" t="n">
        <v>26.338672249109</v>
      </c>
      <c r="I75" s="2" t="n">
        <v>50.2061676979065</v>
      </c>
      <c r="J75" s="2" t="s">
        <v>119</v>
      </c>
      <c r="K75" s="2" t="s">
        <v>49</v>
      </c>
      <c r="L75" s="2" t="s">
        <v>50</v>
      </c>
      <c r="M75" s="2"/>
      <c r="N75" s="2"/>
      <c r="O75" s="4"/>
      <c r="P75" s="4" t="s">
        <v>635</v>
      </c>
      <c r="Q75" s="2"/>
      <c r="R75" s="2"/>
      <c r="S75" s="2"/>
      <c r="T75" s="2"/>
      <c r="U75" s="2"/>
      <c r="V75" s="2"/>
      <c r="W75" s="2"/>
      <c r="X75" s="2"/>
      <c r="Y75" s="2"/>
      <c r="Z75" s="2"/>
      <c r="AA75" s="2"/>
      <c r="AB75" s="2"/>
      <c r="AC75" s="2" t="s">
        <v>77</v>
      </c>
      <c r="AD75" s="2"/>
      <c r="AE75" s="2" t="s">
        <v>153</v>
      </c>
      <c r="AF75" s="2" t="s">
        <v>241</v>
      </c>
      <c r="AG75" s="2" t="n">
        <v>0</v>
      </c>
      <c r="AH75" s="2" t="n">
        <v>8</v>
      </c>
      <c r="AI75" s="2" t="n">
        <v>20</v>
      </c>
      <c r="AJ75" s="2" t="n">
        <v>0</v>
      </c>
      <c r="AK75" s="2" t="n">
        <v>0</v>
      </c>
      <c r="AL75" s="2" t="n">
        <v>5</v>
      </c>
      <c r="AM75" s="5" t="n">
        <f aca="false">SUM(AG75:AL75)</f>
        <v>33</v>
      </c>
      <c r="AN75" s="5" t="str">
        <f aca="false">IF(AM75&gt;=80,"A",IF(AM75&gt;=60,"B","C"))</f>
        <v>C</v>
      </c>
      <c r="AO75" s="4"/>
      <c r="AP75" s="4" t="s">
        <v>636</v>
      </c>
      <c r="AQ75" s="2" t="s">
        <v>66</v>
      </c>
    </row>
    <row r="76" customFormat="false" ht="22.35" hidden="false" customHeight="false" outlineLevel="0" collapsed="false">
      <c r="A76" s="2" t="s">
        <v>637</v>
      </c>
      <c r="B76" s="2" t="s">
        <v>638</v>
      </c>
      <c r="C76" s="2"/>
      <c r="D76" s="2" t="s">
        <v>45</v>
      </c>
      <c r="E76" s="2" t="s">
        <v>488</v>
      </c>
      <c r="F76" s="2" t="s">
        <v>488</v>
      </c>
      <c r="G76" s="3" t="s">
        <v>47</v>
      </c>
      <c r="H76" s="2" t="n">
        <v>26.3453794415196</v>
      </c>
      <c r="I76" s="2" t="n">
        <v>50.2009697047508</v>
      </c>
      <c r="J76" s="2" t="s">
        <v>48</v>
      </c>
      <c r="K76" s="2" t="s">
        <v>49</v>
      </c>
      <c r="L76" s="2" t="s">
        <v>50</v>
      </c>
      <c r="M76" s="2"/>
      <c r="N76" s="2"/>
      <c r="O76" s="4" t="s">
        <v>376</v>
      </c>
      <c r="P76" s="4" t="s">
        <v>639</v>
      </c>
      <c r="Q76" s="2"/>
      <c r="R76" s="2"/>
      <c r="S76" s="2"/>
      <c r="T76" s="2"/>
      <c r="U76" s="2"/>
      <c r="V76" s="2"/>
      <c r="W76" s="2"/>
      <c r="X76" s="2"/>
      <c r="Y76" s="2"/>
      <c r="Z76" s="2"/>
      <c r="AA76" s="2"/>
      <c r="AB76" s="2"/>
      <c r="AC76" s="2" t="s">
        <v>77</v>
      </c>
      <c r="AD76" s="2"/>
      <c r="AE76" s="2" t="s">
        <v>153</v>
      </c>
      <c r="AF76" s="2" t="s">
        <v>241</v>
      </c>
      <c r="AG76" s="2" t="n">
        <v>0</v>
      </c>
      <c r="AH76" s="2" t="n">
        <v>8</v>
      </c>
      <c r="AI76" s="2" t="n">
        <v>20</v>
      </c>
      <c r="AJ76" s="2" t="n">
        <v>0</v>
      </c>
      <c r="AK76" s="2" t="n">
        <v>0</v>
      </c>
      <c r="AL76" s="2" t="n">
        <v>5</v>
      </c>
      <c r="AM76" s="5" t="n">
        <f aca="false">SUM(AG76:AL76)</f>
        <v>33</v>
      </c>
      <c r="AN76" s="5" t="str">
        <f aca="false">IF(AM76&gt;=80,"A",IF(AM76&gt;=60,"B","C"))</f>
        <v>C</v>
      </c>
      <c r="AO76" s="4"/>
      <c r="AP76" s="4" t="s">
        <v>640</v>
      </c>
      <c r="AQ76" s="2" t="s">
        <v>66</v>
      </c>
    </row>
    <row r="77" customFormat="false" ht="74.6" hidden="false" customHeight="false" outlineLevel="0" collapsed="false">
      <c r="A77" s="2" t="s">
        <v>641</v>
      </c>
      <c r="B77" s="2" t="s">
        <v>642</v>
      </c>
      <c r="C77" s="2"/>
      <c r="D77" s="2" t="s">
        <v>45</v>
      </c>
      <c r="E77" s="2" t="s">
        <v>643</v>
      </c>
      <c r="F77" s="2" t="s">
        <v>644</v>
      </c>
      <c r="G77" s="3" t="s">
        <v>47</v>
      </c>
      <c r="H77" s="2" t="n">
        <v>26.3548147839634</v>
      </c>
      <c r="I77" s="2" t="n">
        <v>50.2104216814041</v>
      </c>
      <c r="J77" s="2" t="s">
        <v>119</v>
      </c>
      <c r="K77" s="2" t="s">
        <v>49</v>
      </c>
      <c r="L77" s="2" t="s">
        <v>50</v>
      </c>
      <c r="M77" s="2"/>
      <c r="N77" s="2"/>
      <c r="O77" s="4"/>
      <c r="P77" s="4" t="s">
        <v>645</v>
      </c>
      <c r="Q77" s="2"/>
      <c r="R77" s="2"/>
      <c r="S77" s="2"/>
      <c r="T77" s="2"/>
      <c r="U77" s="2"/>
      <c r="V77" s="2"/>
      <c r="W77" s="2"/>
      <c r="X77" s="2"/>
      <c r="Y77" s="2"/>
      <c r="Z77" s="2"/>
      <c r="AA77" s="2"/>
      <c r="AB77" s="2"/>
      <c r="AC77" s="2" t="s">
        <v>77</v>
      </c>
      <c r="AD77" s="2"/>
      <c r="AE77" s="2" t="s">
        <v>153</v>
      </c>
      <c r="AF77" s="2" t="s">
        <v>241</v>
      </c>
      <c r="AG77" s="2" t="n">
        <v>0</v>
      </c>
      <c r="AH77" s="2" t="n">
        <v>8</v>
      </c>
      <c r="AI77" s="2" t="n">
        <v>20</v>
      </c>
      <c r="AJ77" s="2" t="n">
        <v>0</v>
      </c>
      <c r="AK77" s="2" t="n">
        <v>0</v>
      </c>
      <c r="AL77" s="2" t="n">
        <v>5</v>
      </c>
      <c r="AM77" s="5" t="n">
        <f aca="false">SUM(AG77:AL77)</f>
        <v>33</v>
      </c>
      <c r="AN77" s="5" t="str">
        <f aca="false">IF(AM77&gt;=80,"A",IF(AM77&gt;=60,"B","C"))</f>
        <v>C</v>
      </c>
      <c r="AO77" s="4"/>
      <c r="AP77" s="4" t="s">
        <v>646</v>
      </c>
      <c r="AQ77" s="2" t="s">
        <v>66</v>
      </c>
    </row>
    <row r="78" customFormat="false" ht="32.8" hidden="false" customHeight="false" outlineLevel="0" collapsed="false">
      <c r="A78" s="2" t="s">
        <v>647</v>
      </c>
      <c r="B78" s="2" t="s">
        <v>648</v>
      </c>
      <c r="C78" s="2"/>
      <c r="D78" s="2" t="s">
        <v>45</v>
      </c>
      <c r="E78" s="2" t="s">
        <v>649</v>
      </c>
      <c r="F78" s="2" t="s">
        <v>650</v>
      </c>
      <c r="G78" s="3" t="s">
        <v>47</v>
      </c>
      <c r="H78" s="2" t="n">
        <v>26.3593619764321</v>
      </c>
      <c r="I78" s="2" t="n">
        <v>50.1957607269287</v>
      </c>
      <c r="J78" s="2" t="s">
        <v>48</v>
      </c>
      <c r="K78" s="2" t="s">
        <v>49</v>
      </c>
      <c r="L78" s="2" t="s">
        <v>50</v>
      </c>
      <c r="M78" s="2"/>
      <c r="N78" s="2" t="n">
        <v>11</v>
      </c>
      <c r="O78" s="4"/>
      <c r="P78" s="4" t="s">
        <v>651</v>
      </c>
      <c r="Q78" s="2"/>
      <c r="R78" s="2"/>
      <c r="S78" s="2"/>
      <c r="T78" s="2"/>
      <c r="U78" s="2"/>
      <c r="V78" s="2"/>
      <c r="W78" s="2"/>
      <c r="X78" s="2"/>
      <c r="Y78" s="2"/>
      <c r="Z78" s="2"/>
      <c r="AA78" s="2"/>
      <c r="AB78" s="2"/>
      <c r="AC78" s="2" t="s">
        <v>77</v>
      </c>
      <c r="AD78" s="2"/>
      <c r="AE78" s="2" t="s">
        <v>153</v>
      </c>
      <c r="AF78" s="2" t="s">
        <v>241</v>
      </c>
      <c r="AG78" s="2" t="n">
        <v>5</v>
      </c>
      <c r="AH78" s="2" t="n">
        <v>8</v>
      </c>
      <c r="AI78" s="2" t="n">
        <v>20</v>
      </c>
      <c r="AJ78" s="2" t="n">
        <v>0</v>
      </c>
      <c r="AK78" s="2" t="n">
        <v>0</v>
      </c>
      <c r="AL78" s="2" t="n">
        <v>5</v>
      </c>
      <c r="AM78" s="5" t="n">
        <f aca="false">SUM(AG78:AL78)</f>
        <v>38</v>
      </c>
      <c r="AN78" s="5" t="str">
        <f aca="false">IF(AM78&gt;=80,"A",IF(AM78&gt;=60,"B","C"))</f>
        <v>C</v>
      </c>
      <c r="AO78" s="4"/>
      <c r="AP78" s="4" t="s">
        <v>652</v>
      </c>
      <c r="AQ78" s="2" t="s">
        <v>66</v>
      </c>
    </row>
    <row r="79" customFormat="false" ht="74.6" hidden="false" customHeight="false" outlineLevel="0" collapsed="false">
      <c r="A79" s="2" t="s">
        <v>653</v>
      </c>
      <c r="B79" s="2" t="s">
        <v>654</v>
      </c>
      <c r="C79" s="2"/>
      <c r="D79" s="2" t="s">
        <v>45</v>
      </c>
      <c r="E79" s="2" t="s">
        <v>655</v>
      </c>
      <c r="F79" s="2" t="s">
        <v>656</v>
      </c>
      <c r="G79" s="3" t="s">
        <v>47</v>
      </c>
      <c r="H79" s="2" t="n">
        <v>26.3704359972567</v>
      </c>
      <c r="I79" s="2" t="n">
        <v>50.1716530323029</v>
      </c>
      <c r="J79" s="2" t="s">
        <v>571</v>
      </c>
      <c r="K79" s="2" t="s">
        <v>49</v>
      </c>
      <c r="L79" s="2" t="s">
        <v>50</v>
      </c>
      <c r="M79" s="2"/>
      <c r="N79" s="2"/>
      <c r="O79" s="4"/>
      <c r="P79" s="4" t="s">
        <v>657</v>
      </c>
      <c r="Q79" s="2"/>
      <c r="R79" s="2"/>
      <c r="S79" s="2"/>
      <c r="T79" s="2"/>
      <c r="U79" s="2"/>
      <c r="V79" s="2"/>
      <c r="W79" s="2"/>
      <c r="X79" s="2"/>
      <c r="Y79" s="2"/>
      <c r="Z79" s="2"/>
      <c r="AA79" s="2"/>
      <c r="AB79" s="2"/>
      <c r="AC79" s="2" t="s">
        <v>77</v>
      </c>
      <c r="AD79" s="2"/>
      <c r="AE79" s="2" t="s">
        <v>153</v>
      </c>
      <c r="AF79" s="2" t="s">
        <v>241</v>
      </c>
      <c r="AG79" s="2" t="n">
        <v>0</v>
      </c>
      <c r="AH79" s="2" t="n">
        <v>8</v>
      </c>
      <c r="AI79" s="2" t="n">
        <v>20</v>
      </c>
      <c r="AJ79" s="2" t="n">
        <v>0</v>
      </c>
      <c r="AK79" s="2" t="n">
        <v>0</v>
      </c>
      <c r="AL79" s="2" t="n">
        <v>5</v>
      </c>
      <c r="AM79" s="5" t="n">
        <f aca="false">SUM(AG79:AL79)</f>
        <v>33</v>
      </c>
      <c r="AN79" s="5" t="str">
        <f aca="false">IF(AM79&gt;=80,"A",IF(AM79&gt;=60,"B","C"))</f>
        <v>C</v>
      </c>
      <c r="AO79" s="4" t="s">
        <v>658</v>
      </c>
      <c r="AP79" s="4" t="s">
        <v>659</v>
      </c>
      <c r="AQ79" s="2" t="s">
        <v>66</v>
      </c>
    </row>
    <row r="80" customFormat="false" ht="74.6" hidden="false" customHeight="false" outlineLevel="0" collapsed="false">
      <c r="A80" s="2" t="s">
        <v>660</v>
      </c>
      <c r="B80" s="2" t="s">
        <v>661</v>
      </c>
      <c r="C80" s="2"/>
      <c r="D80" s="2" t="s">
        <v>45</v>
      </c>
      <c r="E80" s="2" t="s">
        <v>662</v>
      </c>
      <c r="F80" s="2" t="s">
        <v>663</v>
      </c>
      <c r="G80" s="3" t="s">
        <v>47</v>
      </c>
      <c r="H80" s="2" t="n">
        <v>26.2829334096228</v>
      </c>
      <c r="I80" s="2" t="n">
        <v>50.2220031921387</v>
      </c>
      <c r="J80" s="2" t="s">
        <v>277</v>
      </c>
      <c r="K80" s="2" t="s">
        <v>664</v>
      </c>
      <c r="L80" s="2" t="s">
        <v>50</v>
      </c>
      <c r="M80" s="2"/>
      <c r="N80" s="2"/>
      <c r="O80" s="4"/>
      <c r="P80" s="4" t="s">
        <v>665</v>
      </c>
      <c r="Q80" s="2"/>
      <c r="R80" s="2"/>
      <c r="S80" s="2"/>
      <c r="T80" s="2"/>
      <c r="U80" s="2"/>
      <c r="V80" s="2"/>
      <c r="W80" s="2"/>
      <c r="X80" s="2"/>
      <c r="Y80" s="2"/>
      <c r="Z80" s="2"/>
      <c r="AA80" s="2"/>
      <c r="AB80" s="2"/>
      <c r="AC80" s="2" t="s">
        <v>77</v>
      </c>
      <c r="AD80" s="2"/>
      <c r="AE80" s="2" t="s">
        <v>153</v>
      </c>
      <c r="AF80" s="2" t="s">
        <v>241</v>
      </c>
      <c r="AG80" s="2" t="n">
        <v>0</v>
      </c>
      <c r="AH80" s="2" t="n">
        <v>8</v>
      </c>
      <c r="AI80" s="2" t="n">
        <v>20</v>
      </c>
      <c r="AJ80" s="2" t="n">
        <v>0</v>
      </c>
      <c r="AK80" s="2" t="n">
        <v>0</v>
      </c>
      <c r="AL80" s="2" t="n">
        <v>5</v>
      </c>
      <c r="AM80" s="5" t="n">
        <f aca="false">SUM(AG80:AL80)</f>
        <v>33</v>
      </c>
      <c r="AN80" s="5" t="str">
        <f aca="false">IF(AM80&gt;=80,"A",IF(AM80&gt;=60,"B","C"))</f>
        <v>C</v>
      </c>
      <c r="AO80" s="4" t="s">
        <v>666</v>
      </c>
      <c r="AP80" s="4" t="s">
        <v>667</v>
      </c>
      <c r="AQ80" s="2" t="s">
        <v>66</v>
      </c>
    </row>
    <row r="81" customFormat="false" ht="53.7" hidden="false" customHeight="false" outlineLevel="0" collapsed="false">
      <c r="A81" s="2" t="s">
        <v>668</v>
      </c>
      <c r="B81" s="2" t="s">
        <v>669</v>
      </c>
      <c r="C81" s="2"/>
      <c r="D81" s="2" t="s">
        <v>45</v>
      </c>
      <c r="E81" s="2" t="s">
        <v>670</v>
      </c>
      <c r="F81" s="2"/>
      <c r="G81" s="2"/>
      <c r="H81" s="2"/>
      <c r="I81" s="2"/>
      <c r="J81" s="2" t="s">
        <v>48</v>
      </c>
      <c r="K81" s="2" t="s">
        <v>49</v>
      </c>
      <c r="L81" s="2" t="s">
        <v>77</v>
      </c>
      <c r="M81" s="2"/>
      <c r="N81" s="2" t="n">
        <v>60</v>
      </c>
      <c r="O81" s="4" t="s">
        <v>671</v>
      </c>
      <c r="P81" s="4"/>
      <c r="Q81" s="2"/>
      <c r="R81" s="2"/>
      <c r="S81" s="2"/>
      <c r="T81" s="2"/>
      <c r="U81" s="2"/>
      <c r="V81" s="2"/>
      <c r="W81" s="2"/>
      <c r="X81" s="2"/>
      <c r="Y81" s="2"/>
      <c r="Z81" s="2"/>
      <c r="AA81" s="2"/>
      <c r="AB81" s="2"/>
      <c r="AC81" s="2" t="s">
        <v>77</v>
      </c>
      <c r="AD81" s="2"/>
      <c r="AE81" s="2" t="s">
        <v>153</v>
      </c>
      <c r="AF81" s="2" t="s">
        <v>241</v>
      </c>
      <c r="AG81" s="2" t="n">
        <v>10</v>
      </c>
      <c r="AH81" s="2" t="n">
        <v>8</v>
      </c>
      <c r="AI81" s="2" t="n">
        <v>14</v>
      </c>
      <c r="AJ81" s="2" t="n">
        <v>0</v>
      </c>
      <c r="AK81" s="2" t="n">
        <v>0</v>
      </c>
      <c r="AL81" s="2" t="n">
        <v>0</v>
      </c>
      <c r="AM81" s="5" t="n">
        <f aca="false">SUM(AG81:AL81)</f>
        <v>32</v>
      </c>
      <c r="AN81" s="5" t="str">
        <f aca="false">IF(AM81&gt;=80,"A",IF(AM81&gt;=60,"B","C"))</f>
        <v>C</v>
      </c>
      <c r="AO81" s="4"/>
      <c r="AP81" s="4" t="s">
        <v>672</v>
      </c>
      <c r="AQ81" s="2" t="s">
        <v>66</v>
      </c>
    </row>
    <row r="82" customFormat="false" ht="32.8" hidden="false" customHeight="false" outlineLevel="0" collapsed="false">
      <c r="A82" s="2" t="s">
        <v>673</v>
      </c>
      <c r="B82" s="2" t="s">
        <v>674</v>
      </c>
      <c r="C82" s="2"/>
      <c r="D82" s="2" t="s">
        <v>45</v>
      </c>
      <c r="E82" s="2"/>
      <c r="F82" s="2"/>
      <c r="G82" s="2"/>
      <c r="H82" s="2"/>
      <c r="I82" s="2"/>
      <c r="J82" s="2" t="s">
        <v>48</v>
      </c>
      <c r="K82" s="2" t="s">
        <v>49</v>
      </c>
      <c r="L82" s="2" t="s">
        <v>77</v>
      </c>
      <c r="M82" s="2"/>
      <c r="N82" s="2"/>
      <c r="O82" s="4"/>
      <c r="P82" s="4"/>
      <c r="Q82" s="2"/>
      <c r="R82" s="2"/>
      <c r="S82" s="2"/>
      <c r="T82" s="2"/>
      <c r="U82" s="2"/>
      <c r="V82" s="2"/>
      <c r="W82" s="2"/>
      <c r="X82" s="2"/>
      <c r="Y82" s="2"/>
      <c r="Z82" s="2"/>
      <c r="AA82" s="2"/>
      <c r="AB82" s="2"/>
      <c r="AC82" s="2" t="s">
        <v>77</v>
      </c>
      <c r="AD82" s="2"/>
      <c r="AE82" s="2" t="s">
        <v>153</v>
      </c>
      <c r="AF82" s="2" t="s">
        <v>241</v>
      </c>
      <c r="AG82" s="2" t="n">
        <v>0</v>
      </c>
      <c r="AH82" s="2" t="n">
        <v>8</v>
      </c>
      <c r="AI82" s="2" t="n">
        <v>14</v>
      </c>
      <c r="AJ82" s="2" t="n">
        <v>0</v>
      </c>
      <c r="AK82" s="2" t="n">
        <v>0</v>
      </c>
      <c r="AL82" s="2" t="n">
        <v>0</v>
      </c>
      <c r="AM82" s="5" t="n">
        <f aca="false">SUM(AG82:AL82)</f>
        <v>22</v>
      </c>
      <c r="AN82" s="5" t="str">
        <f aca="false">IF(AM82&gt;=80,"A",IF(AM82&gt;=60,"B","C"))</f>
        <v>C</v>
      </c>
      <c r="AO82" s="4" t="s">
        <v>675</v>
      </c>
      <c r="AP82" s="4" t="s">
        <v>434</v>
      </c>
      <c r="AQ82" s="2" t="s">
        <v>66</v>
      </c>
    </row>
    <row r="83" customFormat="false" ht="32.8" hidden="false" customHeight="false" outlineLevel="0" collapsed="false">
      <c r="A83" s="2" t="s">
        <v>676</v>
      </c>
      <c r="B83" s="2" t="s">
        <v>677</v>
      </c>
      <c r="C83" s="2"/>
      <c r="D83" s="2" t="s">
        <v>45</v>
      </c>
      <c r="E83" s="2"/>
      <c r="F83" s="2"/>
      <c r="G83" s="2"/>
      <c r="H83" s="2"/>
      <c r="I83" s="2"/>
      <c r="J83" s="2" t="s">
        <v>357</v>
      </c>
      <c r="K83" s="2" t="s">
        <v>49</v>
      </c>
      <c r="L83" s="2" t="s">
        <v>77</v>
      </c>
      <c r="M83" s="2"/>
      <c r="N83" s="2"/>
      <c r="O83" s="4"/>
      <c r="P83" s="4"/>
      <c r="Q83" s="2"/>
      <c r="R83" s="2"/>
      <c r="S83" s="2"/>
      <c r="T83" s="2"/>
      <c r="U83" s="2"/>
      <c r="V83" s="2"/>
      <c r="W83" s="2"/>
      <c r="X83" s="2"/>
      <c r="Y83" s="2"/>
      <c r="Z83" s="2"/>
      <c r="AA83" s="2"/>
      <c r="AB83" s="2"/>
      <c r="AC83" s="2" t="s">
        <v>77</v>
      </c>
      <c r="AD83" s="2"/>
      <c r="AE83" s="2" t="s">
        <v>153</v>
      </c>
      <c r="AF83" s="2" t="s">
        <v>241</v>
      </c>
      <c r="AG83" s="2" t="n">
        <v>0</v>
      </c>
      <c r="AH83" s="2" t="n">
        <v>8</v>
      </c>
      <c r="AI83" s="2" t="n">
        <v>14</v>
      </c>
      <c r="AJ83" s="2" t="n">
        <v>0</v>
      </c>
      <c r="AK83" s="2" t="n">
        <v>0</v>
      </c>
      <c r="AL83" s="2" t="n">
        <v>0</v>
      </c>
      <c r="AM83" s="5" t="n">
        <f aca="false">SUM(AG83:AL83)</f>
        <v>22</v>
      </c>
      <c r="AN83" s="5" t="str">
        <f aca="false">IF(AM83&gt;=80,"A",IF(AM83&gt;=60,"B","C"))</f>
        <v>C</v>
      </c>
      <c r="AO83" s="4" t="s">
        <v>678</v>
      </c>
      <c r="AP83" s="4" t="s">
        <v>434</v>
      </c>
      <c r="AQ83" s="2" t="s">
        <v>66</v>
      </c>
    </row>
    <row r="84" customFormat="false" ht="32.8" hidden="false" customHeight="false" outlineLevel="0" collapsed="false">
      <c r="A84" s="2" t="s">
        <v>679</v>
      </c>
      <c r="B84" s="2" t="s">
        <v>680</v>
      </c>
      <c r="C84" s="2"/>
      <c r="D84" s="2" t="s">
        <v>45</v>
      </c>
      <c r="E84" s="2"/>
      <c r="F84" s="2"/>
      <c r="G84" s="2"/>
      <c r="H84" s="2"/>
      <c r="I84" s="2"/>
      <c r="J84" s="2" t="s">
        <v>681</v>
      </c>
      <c r="K84" s="2" t="s">
        <v>49</v>
      </c>
      <c r="L84" s="2" t="s">
        <v>77</v>
      </c>
      <c r="M84" s="2"/>
      <c r="N84" s="2"/>
      <c r="O84" s="4"/>
      <c r="P84" s="4"/>
      <c r="Q84" s="2"/>
      <c r="R84" s="2"/>
      <c r="S84" s="2"/>
      <c r="T84" s="2"/>
      <c r="U84" s="2"/>
      <c r="V84" s="2"/>
      <c r="W84" s="2"/>
      <c r="X84" s="2"/>
      <c r="Y84" s="2"/>
      <c r="Z84" s="2"/>
      <c r="AA84" s="2"/>
      <c r="AB84" s="2"/>
      <c r="AC84" s="2" t="s">
        <v>77</v>
      </c>
      <c r="AD84" s="2"/>
      <c r="AE84" s="2" t="s">
        <v>153</v>
      </c>
      <c r="AF84" s="2" t="s">
        <v>154</v>
      </c>
      <c r="AG84" s="2" t="n">
        <v>0</v>
      </c>
      <c r="AH84" s="2" t="n">
        <v>8</v>
      </c>
      <c r="AI84" s="2" t="n">
        <v>14</v>
      </c>
      <c r="AJ84" s="2" t="n">
        <v>0</v>
      </c>
      <c r="AK84" s="2" t="n">
        <v>0</v>
      </c>
      <c r="AL84" s="2" t="n">
        <v>0</v>
      </c>
      <c r="AM84" s="5" t="n">
        <f aca="false">SUM(AG84:AL84)</f>
        <v>22</v>
      </c>
      <c r="AN84" s="5" t="str">
        <f aca="false">IF(AM84&gt;=80,"A",IF(AM84&gt;=60,"B","C"))</f>
        <v>C</v>
      </c>
      <c r="AO84" s="4" t="s">
        <v>682</v>
      </c>
      <c r="AP84" s="4" t="s">
        <v>683</v>
      </c>
      <c r="AQ84" s="2" t="s">
        <v>66</v>
      </c>
    </row>
    <row r="85" customFormat="false" ht="22.35" hidden="false" customHeight="false" outlineLevel="0" collapsed="false">
      <c r="A85" s="2" t="s">
        <v>684</v>
      </c>
      <c r="B85" s="2" t="s">
        <v>685</v>
      </c>
      <c r="C85" s="2"/>
      <c r="D85" s="2" t="s">
        <v>45</v>
      </c>
      <c r="E85" s="2"/>
      <c r="F85" s="2"/>
      <c r="G85" s="2"/>
      <c r="H85" s="2"/>
      <c r="I85" s="2"/>
      <c r="J85" s="2" t="s">
        <v>277</v>
      </c>
      <c r="K85" s="2" t="s">
        <v>664</v>
      </c>
      <c r="L85" s="2" t="s">
        <v>77</v>
      </c>
      <c r="M85" s="2"/>
      <c r="N85" s="2"/>
      <c r="O85" s="4"/>
      <c r="P85" s="4"/>
      <c r="Q85" s="2"/>
      <c r="R85" s="2"/>
      <c r="S85" s="2"/>
      <c r="T85" s="2"/>
      <c r="U85" s="2"/>
      <c r="V85" s="2"/>
      <c r="W85" s="2"/>
      <c r="X85" s="2"/>
      <c r="Y85" s="2"/>
      <c r="Z85" s="2"/>
      <c r="AA85" s="2"/>
      <c r="AB85" s="2"/>
      <c r="AC85" s="2" t="s">
        <v>77</v>
      </c>
      <c r="AD85" s="2"/>
      <c r="AE85" s="2" t="s">
        <v>153</v>
      </c>
      <c r="AF85" s="2" t="s">
        <v>241</v>
      </c>
      <c r="AG85" s="2" t="n">
        <v>0</v>
      </c>
      <c r="AH85" s="2" t="n">
        <v>8</v>
      </c>
      <c r="AI85" s="2" t="n">
        <v>20</v>
      </c>
      <c r="AJ85" s="2" t="n">
        <v>0</v>
      </c>
      <c r="AK85" s="2" t="n">
        <v>0</v>
      </c>
      <c r="AL85" s="2" t="n">
        <v>0</v>
      </c>
      <c r="AM85" s="5" t="n">
        <f aca="false">SUM(AG85:AL85)</f>
        <v>28</v>
      </c>
      <c r="AN85" s="5" t="str">
        <f aca="false">IF(AM85&gt;=80,"A",IF(AM85&gt;=60,"B","C"))</f>
        <v>C</v>
      </c>
      <c r="AO85" s="4"/>
      <c r="AP85" s="4" t="s">
        <v>686</v>
      </c>
      <c r="AQ85" s="2" t="s">
        <v>66</v>
      </c>
    </row>
    <row r="86" customFormat="false" ht="22.35" hidden="false" customHeight="false" outlineLevel="0" collapsed="false">
      <c r="A86" s="2" t="s">
        <v>687</v>
      </c>
      <c r="B86" s="2" t="s">
        <v>688</v>
      </c>
      <c r="C86" s="2"/>
      <c r="D86" s="2" t="s">
        <v>45</v>
      </c>
      <c r="E86" s="2" t="s">
        <v>167</v>
      </c>
      <c r="F86" s="2"/>
      <c r="G86" s="2"/>
      <c r="H86" s="2"/>
      <c r="I86" s="2"/>
      <c r="J86" s="2" t="s">
        <v>277</v>
      </c>
      <c r="K86" s="2" t="s">
        <v>689</v>
      </c>
      <c r="L86" s="2" t="s">
        <v>77</v>
      </c>
      <c r="M86" s="2" t="s">
        <v>690</v>
      </c>
      <c r="N86" s="2"/>
      <c r="O86" s="4"/>
      <c r="P86" s="4"/>
      <c r="Q86" s="2"/>
      <c r="R86" s="2"/>
      <c r="S86" s="2"/>
      <c r="T86" s="2"/>
      <c r="U86" s="2"/>
      <c r="V86" s="2"/>
      <c r="W86" s="2"/>
      <c r="X86" s="2"/>
      <c r="Y86" s="2"/>
      <c r="Z86" s="2"/>
      <c r="AA86" s="2"/>
      <c r="AB86" s="2"/>
      <c r="AC86" s="2" t="s">
        <v>77</v>
      </c>
      <c r="AD86" s="2"/>
      <c r="AE86" s="2" t="s">
        <v>153</v>
      </c>
      <c r="AF86" s="2" t="s">
        <v>241</v>
      </c>
      <c r="AG86" s="2" t="n">
        <v>0</v>
      </c>
      <c r="AH86" s="2" t="n">
        <v>8</v>
      </c>
      <c r="AI86" s="2" t="n">
        <v>14</v>
      </c>
      <c r="AJ86" s="2" t="n">
        <v>0</v>
      </c>
      <c r="AK86" s="2" t="n">
        <v>0</v>
      </c>
      <c r="AL86" s="2" t="n">
        <v>10</v>
      </c>
      <c r="AM86" s="5" t="n">
        <f aca="false">SUM(AG86:AL86)</f>
        <v>32</v>
      </c>
      <c r="AN86" s="5" t="str">
        <f aca="false">IF(AM86&gt;=80,"A",IF(AM86&gt;=60,"B","C"))</f>
        <v>C</v>
      </c>
      <c r="AO86" s="4" t="s">
        <v>691</v>
      </c>
      <c r="AP86" s="4" t="s">
        <v>692</v>
      </c>
      <c r="AQ86" s="2" t="s">
        <v>66</v>
      </c>
    </row>
  </sheetData>
  <autoFilter ref="A1:AQ86"/>
  <hyperlinks>
    <hyperlink ref="G2" r:id="rId1" display="Open map"/>
    <hyperlink ref="Q2" r:id="rId2" display="https://www.canaryvillage.com/"/>
    <hyperlink ref="V2" r:id="rId3" display="https://www.instagram.com/canaryvillage"/>
    <hyperlink ref="W2" r:id="rId4" display="https://www.facebook.com/canary.canary.714"/>
    <hyperlink ref="AD2" r:id="rId5" display="https://rightcompound.com/compounds/khobar/canary-village"/>
    <hyperlink ref="Q3" r:id="rId6" display="https://canary-vista.com/"/>
    <hyperlink ref="V3" r:id="rId7" display="https://instagram.com/canaryvistacommunity"/>
    <hyperlink ref="W3" r:id="rId8" display="https://www.facebook.com/2070283359669619"/>
    <hyperlink ref="Q4" r:id="rId9" display="https://www.eurovillage.sa/"/>
    <hyperlink ref="V4" r:id="rId10" display="https://www.instagram.com/eurovillage_compound"/>
    <hyperlink ref="W4" r:id="rId11" display="https://www.facebook.com/EuroVillageSA"/>
    <hyperlink ref="X4" r:id="rId12" display="https://www.linkedin.com/company/eurovillage-compound"/>
    <hyperlink ref="Q5" r:id="rId13" display="https://www.lasdunas-sa.com/"/>
    <hyperlink ref="G6" r:id="rId14" display="Open map"/>
    <hyperlink ref="Q6" r:id="rId15" display="https://www.rivieracompound.com/"/>
    <hyperlink ref="V6" r:id="rId16" display="https://www.instagram.com/rivieracompound"/>
    <hyperlink ref="W6" r:id="rId17" display="https://www.facebook.com/Rivieracompoundsa"/>
    <hyperlink ref="X6" r:id="rId18" display="https://www.linkedin.com/showcase/rivieracompound"/>
    <hyperlink ref="G7" r:id="rId19" display="Open map"/>
    <hyperlink ref="Q7" r:id="rId20" display="https://www.al-othman.com/ar/al-mohamadia-compound"/>
    <hyperlink ref="V7" r:id="rId21" display="https://instagram.com/alothman.holding"/>
    <hyperlink ref="W7" r:id="rId22" display="https://www.facebook.com/pages/AlOthman-Holding/1492267767733144"/>
    <hyperlink ref="X7" r:id="rId23" display="https://www.linkedin.com/company/al--othman-holding-company"/>
    <hyperlink ref="AD7" r:id="rId24" display="https://rightcompound.com/compounds/khobar/mohamadia-compound"/>
    <hyperlink ref="G8" r:id="rId25" display="Open map"/>
    <hyperlink ref="Q8" r:id="rId26" display="https://zamilrealestate.com/en"/>
    <hyperlink ref="AD8" r:id="rId27" display="https://whichschooladvisor.com/saudi/area-guide/eastern-province/al-khobar"/>
    <hyperlink ref="G9" r:id="rId28" display="Open map"/>
    <hyperlink ref="G10" r:id="rId29" display="Open map"/>
    <hyperlink ref="G11" r:id="rId30" display="Open map"/>
    <hyperlink ref="Q11" r:id="rId31" display="https://www.retalresidence.com/"/>
    <hyperlink ref="Q12" r:id="rId32" display="https://www.grandvillage.com.sa/"/>
    <hyperlink ref="G13" r:id="rId33" display="Open map"/>
    <hyperlink ref="Q13" r:id="rId34" display="https://alef-home.com/"/>
    <hyperlink ref="V13" r:id="rId35" display="https://www.instagram.com/alefkhobar"/>
    <hyperlink ref="W13" r:id="rId36" display="https://www.facebook.com/Alef-Home-Compound-Khobar-Saudi-Arabia-105496395332383"/>
    <hyperlink ref="G14" r:id="rId37" display="Open map"/>
    <hyperlink ref="Q14" r:id="rId38" display="https://alansari.com.sa/"/>
    <hyperlink ref="X14" r:id="rId39" display="https://www.linkedin.com/company/al-ansari-holding-group"/>
    <hyperlink ref="AD14" r:id="rId40" display="https://rightcompound.com/compounds/khobar/al-ansary-compound"/>
    <hyperlink ref="G15" r:id="rId41" display="Open map"/>
    <hyperlink ref="Q15" r:id="rId42" display="https://alansari.com.sa/"/>
    <hyperlink ref="AD15" r:id="rId43" display="https://rightcompound.com/compounds/khobar/al-ansari-compound-two-al-khobar"/>
    <hyperlink ref="G16" r:id="rId44" display="Open map"/>
    <hyperlink ref="Q16" r:id="rId45" display="https://www.aswadgroup.com/info/al-aswad-compound"/>
    <hyperlink ref="AD16" r:id="rId46" display="https://www.aswadgroup.com/info/al-aswad-compound"/>
    <hyperlink ref="G17" r:id="rId47" display="Open map"/>
    <hyperlink ref="G18" r:id="rId48" display="Open map"/>
    <hyperlink ref="X20" r:id="rId49" display="https://www.linkedin.com/company/nesma-holding"/>
    <hyperlink ref="AD20" r:id="rId50" display="https://www.propertyfinder.sa/blog/%D9%83%D9%85%D8%A8%D9%88%D9%86%D8%AF%D8%A7%D8%AA-%D8%A7%D9%84%D8%AE%D8%A8%D8%B1-%D9%85%D8%AC%D9%85%D8%B9%D8%A7%D8%AA-%D8%B3%D9%83%D9%86%D9%8A%D8%A9-%D8%B9%D8%A7%D9%84%D9%85%D9%8A%D8%A9-%D8%B9%D9%84/"/>
    <hyperlink ref="G23" r:id="rId51" display="Open map"/>
    <hyperlink ref="Q23" r:id="rId52" display="https://seashoreresidence.com/"/>
    <hyperlink ref="G24" r:id="rId53" display="Open map"/>
    <hyperlink ref="Q24" r:id="rId54" display="https://www.darwaemaar.com/"/>
    <hyperlink ref="AD24" r:id="rId55" display="https://rightcompound.com/compounds/khobar/saraya-al-olaya-residential-tower"/>
    <hyperlink ref="G25" r:id="rId56" display="Open map"/>
    <hyperlink ref="Q25" r:id="rId57" display="https://www.darwaemaar.com/"/>
    <hyperlink ref="AD25" r:id="rId58" display="https://rightcompound.com/compounds/khobar/saraya-al-rawabi-complex"/>
    <hyperlink ref="G26" r:id="rId59" display="Open map"/>
    <hyperlink ref="Q26" r:id="rId60" display="https://refadcompound.com/"/>
    <hyperlink ref="G27" r:id="rId61" display="Open map"/>
    <hyperlink ref="AD27" r:id="rId62" display="https://rightcompound.com/compounds/khobar/palm-springs-compound"/>
    <hyperlink ref="G28" r:id="rId63" display="Open map"/>
    <hyperlink ref="G29" r:id="rId64" display="Open map"/>
    <hyperlink ref="G30" r:id="rId65" display="Open map"/>
    <hyperlink ref="G31" r:id="rId66" display="Open map"/>
    <hyperlink ref="G32" r:id="rId67" display="Open map"/>
    <hyperlink ref="G33" r:id="rId68" display="Open map"/>
    <hyperlink ref="G34" r:id="rId69" display="Open map"/>
    <hyperlink ref="AD34" r:id="rId70" display="https://rightcompound.com/compounds/khobar/al-riyadh-compound"/>
    <hyperlink ref="AD35" r:id="rId71" display="https://rightcompound.com/compounds/khobar/al-safa-homes-compound"/>
    <hyperlink ref="G36" r:id="rId72" display="Open map"/>
    <hyperlink ref="AD36" r:id="rId73" display="https://rightcompound.com/compounds/khobar/al-sharq-homes-compound"/>
    <hyperlink ref="G37" r:id="rId74" display="Open map"/>
    <hyperlink ref="AD37" r:id="rId75" display="https://rightcompound.com/compounds/khobar/al-yasmeen-homes-compound"/>
    <hyperlink ref="G38" r:id="rId76" display="Open map"/>
    <hyperlink ref="G39" r:id="rId77" display="Open map"/>
    <hyperlink ref="AD39" r:id="rId78" display="https://rightcompound.com/compounds/khobar/al-shablan-compounds"/>
    <hyperlink ref="G40" r:id="rId79" display="Open map"/>
    <hyperlink ref="AD40" r:id="rId80" display="https://rightcompound.com/compounds/khobar/opal-compound"/>
    <hyperlink ref="G41" r:id="rId81" display="Open map"/>
    <hyperlink ref="AD41" r:id="rId82" display="https://rightcompound.com/compounds/khobar/sedar-village-compound"/>
    <hyperlink ref="G42" r:id="rId83" display="Open map"/>
    <hyperlink ref="AD42" r:id="rId84" display="https://rightcompound.com/compounds/khobar/karawan-compound"/>
    <hyperlink ref="G43" r:id="rId85" display="Open map"/>
    <hyperlink ref="AD43" r:id="rId86" display="https://rightcompound.com/compounds/khobar/gulf-pearl-compound-2"/>
    <hyperlink ref="AD44" r:id="rId87" display="https://rightcompound.com/compounds/khobar/gulf-pearl-compound-2"/>
    <hyperlink ref="G45" r:id="rId88" display="Open map"/>
    <hyperlink ref="AD45" r:id="rId89" display="https://rightcompound.com/compounds/khobar/jouri-homes"/>
    <hyperlink ref="G46" r:id="rId90" display="Open map"/>
    <hyperlink ref="AD46" r:id="rId91" display="https://rightcompound.com/compounds/khobar/al-rashid-residence-towers"/>
    <hyperlink ref="G47" r:id="rId92" display="Open map"/>
    <hyperlink ref="G48" r:id="rId93" display="Open map"/>
    <hyperlink ref="Q48" r:id="rId94" display="https://oasiscompounds.com/oasisgardens/"/>
    <hyperlink ref="G49" r:id="rId95" display="Open map"/>
    <hyperlink ref="Q49" r:id="rId96" display="https://gardens.oasiscompounds.com/oasisresorts/"/>
    <hyperlink ref="G51" r:id="rId97" display="Open map"/>
    <hyperlink ref="G52" r:id="rId98" display="Open map"/>
    <hyperlink ref="G53" r:id="rId99" display="Open map"/>
    <hyperlink ref="G54" r:id="rId100" display="Open map"/>
    <hyperlink ref="G55" r:id="rId101" display="Open map"/>
    <hyperlink ref="Q55" r:id="rId102" display="http://www.rondaco.com/"/>
    <hyperlink ref="X55" r:id="rId103" display="https://www.linkedin.com/company/ronda-residence"/>
    <hyperlink ref="G56" r:id="rId104" display="Open map"/>
    <hyperlink ref="Q56" r:id="rId105" display="https://www.rimaresidence.com/"/>
    <hyperlink ref="W56" r:id="rId106" display="https://www.facebook.com/RimaResidence/"/>
    <hyperlink ref="G57" r:id="rId107" display="Open map"/>
    <hyperlink ref="G58" r:id="rId108" display="Open map"/>
    <hyperlink ref="G59" r:id="rId109" display="Open map"/>
    <hyperlink ref="G60" r:id="rId110" display="Open map"/>
    <hyperlink ref="G61" r:id="rId111" display="Open map"/>
    <hyperlink ref="G62" r:id="rId112" display="Open map"/>
    <hyperlink ref="G63" r:id="rId113" display="Open map"/>
    <hyperlink ref="G64" r:id="rId114" display="Open map"/>
    <hyperlink ref="G65" r:id="rId115" display="Open map"/>
    <hyperlink ref="G66" r:id="rId116" display="Open map"/>
    <hyperlink ref="G67" r:id="rId117" display="Open map"/>
    <hyperlink ref="G68" r:id="rId118" display="Open map"/>
    <hyperlink ref="G69" r:id="rId119" display="Open map"/>
    <hyperlink ref="G70" r:id="rId120" display="Open map"/>
    <hyperlink ref="G71" r:id="rId121" display="Open map"/>
    <hyperlink ref="G72" r:id="rId122" display="Open map"/>
    <hyperlink ref="G73" r:id="rId123" display="Open map"/>
    <hyperlink ref="G74" r:id="rId124" display="Open map"/>
    <hyperlink ref="G75" r:id="rId125" display="Open map"/>
    <hyperlink ref="G76" r:id="rId126" display="Open map"/>
    <hyperlink ref="G77" r:id="rId127" display="Open map"/>
    <hyperlink ref="G78" r:id="rId128" display="Open map"/>
    <hyperlink ref="G79" r:id="rId129" display="Open map"/>
    <hyperlink ref="G80" r:id="rId130" display="Open ma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8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24"/>
    <col collapsed="false" customWidth="true" hidden="false" outlineLevel="0" max="6" min="6" style="0" width="30"/>
    <col collapsed="false" customWidth="true" hidden="false" outlineLevel="0" max="7" min="7" style="0" width="14"/>
    <col collapsed="false" customWidth="true" hidden="false" outlineLevel="0" max="9" min="8" style="0" width="11"/>
    <col collapsed="false" customWidth="true" hidden="false" outlineLevel="0" max="10" min="10" style="0" width="22"/>
    <col collapsed="false" customWidth="true" hidden="false" outlineLevel="0" max="11" min="11" style="0" width="20"/>
    <col collapsed="false" customWidth="true" hidden="false" outlineLevel="0" max="12" min="12" style="0" width="18"/>
    <col collapsed="false" customWidth="true" hidden="false" outlineLevel="0" max="14" min="13" style="0" width="8"/>
    <col collapsed="false" customWidth="true" hidden="false" outlineLevel="0" max="15" min="15" style="0" width="28"/>
    <col collapsed="false" customWidth="true" hidden="false" outlineLevel="0" max="16" min="16" style="0" width="32"/>
    <col collapsed="false" customWidth="true" hidden="false" outlineLevel="0" max="17" min="17" style="0" width="26"/>
    <col collapsed="false" customWidth="true" hidden="false" outlineLevel="0" max="20" min="18" style="0" width="16"/>
    <col collapsed="false" customWidth="true" hidden="false" outlineLevel="0" max="21" min="21" style="0" width="30"/>
    <col collapsed="false" customWidth="true" hidden="false" outlineLevel="0" max="25" min="22" style="0" width="22"/>
    <col collapsed="false" customWidth="true" hidden="false" outlineLevel="0" max="26" min="26" style="0" width="24"/>
    <col collapsed="false" customWidth="true" hidden="false" outlineLevel="0" max="27" min="27" style="0" width="20"/>
    <col collapsed="false" customWidth="true" hidden="false" outlineLevel="0" max="28" min="28" style="0" width="24"/>
    <col collapsed="false" customWidth="true" hidden="false" outlineLevel="0" max="30" min="29" style="0" width="22"/>
    <col collapsed="false" customWidth="true" hidden="false" outlineLevel="0" max="31" min="31" style="0" width="16"/>
    <col collapsed="false" customWidth="true" hidden="false" outlineLevel="0" max="32" min="32" style="0" width="30"/>
    <col collapsed="false" customWidth="true" hidden="false" outlineLevel="0" max="38" min="33" style="0" width="8"/>
    <col collapsed="false" customWidth="true" hidden="false" outlineLevel="0" max="40" min="39" style="0" width="9"/>
    <col collapsed="false" customWidth="true" hidden="false" outlineLevel="0" max="42" min="41" style="0" width="40"/>
    <col collapsed="false" customWidth="true" hidden="false" outlineLevel="0" max="43" min="43"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ustomFormat="false" ht="74.6" hidden="false" customHeight="false" outlineLevel="0" collapsed="false">
      <c r="A2" s="2" t="s">
        <v>43</v>
      </c>
      <c r="B2" s="2" t="s">
        <v>44</v>
      </c>
      <c r="C2" s="2"/>
      <c r="D2" s="2" t="s">
        <v>45</v>
      </c>
      <c r="E2" s="2"/>
      <c r="F2" s="2" t="s">
        <v>46</v>
      </c>
      <c r="G2" s="3" t="s">
        <v>47</v>
      </c>
      <c r="H2" s="2" t="n">
        <v>26.3492387013809</v>
      </c>
      <c r="I2" s="2" t="n">
        <v>50.1866734027863</v>
      </c>
      <c r="J2" s="2" t="s">
        <v>48</v>
      </c>
      <c r="K2" s="2" t="s">
        <v>49</v>
      </c>
      <c r="L2" s="2" t="s">
        <v>50</v>
      </c>
      <c r="M2" s="2"/>
      <c r="N2" s="2" t="n">
        <v>159</v>
      </c>
      <c r="O2" s="4" t="s">
        <v>51</v>
      </c>
      <c r="P2" s="4" t="s">
        <v>52</v>
      </c>
      <c r="Q2" s="3" t="s">
        <v>53</v>
      </c>
      <c r="R2" s="2" t="s">
        <v>54</v>
      </c>
      <c r="S2" s="2" t="s">
        <v>55</v>
      </c>
      <c r="T2" s="2"/>
      <c r="U2" s="2" t="s">
        <v>56</v>
      </c>
      <c r="V2" s="3" t="s">
        <v>57</v>
      </c>
      <c r="W2" s="3" t="s">
        <v>58</v>
      </c>
      <c r="X2" s="2"/>
      <c r="Y2" s="2" t="s">
        <v>59</v>
      </c>
      <c r="Z2" s="2" t="s">
        <v>60</v>
      </c>
      <c r="AA2" s="2"/>
      <c r="AB2" s="2"/>
      <c r="AC2" s="2" t="s">
        <v>61</v>
      </c>
      <c r="AD2" s="3" t="s">
        <v>62</v>
      </c>
      <c r="AE2" s="2" t="s">
        <v>63</v>
      </c>
      <c r="AF2" s="2" t="s">
        <v>64</v>
      </c>
      <c r="AG2" s="2" t="n">
        <v>15</v>
      </c>
      <c r="AH2" s="2" t="n">
        <v>8</v>
      </c>
      <c r="AI2" s="2" t="n">
        <v>6</v>
      </c>
      <c r="AJ2" s="2" t="n">
        <v>15</v>
      </c>
      <c r="AK2" s="2" t="n">
        <v>10</v>
      </c>
      <c r="AL2" s="2" t="n">
        <v>5</v>
      </c>
      <c r="AM2" s="5" t="n">
        <f aca="false">SUM(AG2:AL2)</f>
        <v>59</v>
      </c>
      <c r="AN2" s="5" t="str">
        <f aca="false">IF(AM2&gt;=80,"A",IF(AM2&gt;=60,"B","C"))</f>
        <v>C</v>
      </c>
      <c r="AO2" s="4"/>
      <c r="AP2" s="4" t="s">
        <v>65</v>
      </c>
      <c r="AQ2" s="2" t="s">
        <v>66</v>
      </c>
    </row>
    <row r="3" customFormat="false" ht="53.7" hidden="false" customHeight="false" outlineLevel="0" collapsed="false">
      <c r="A3" s="2" t="s">
        <v>67</v>
      </c>
      <c r="B3" s="2" t="s">
        <v>68</v>
      </c>
      <c r="C3" s="2"/>
      <c r="D3" s="2" t="s">
        <v>45</v>
      </c>
      <c r="E3" s="2" t="s">
        <v>69</v>
      </c>
      <c r="F3" s="2"/>
      <c r="G3" s="2"/>
      <c r="H3" s="2"/>
      <c r="I3" s="2"/>
      <c r="J3" s="2" t="s">
        <v>48</v>
      </c>
      <c r="K3" s="2" t="s">
        <v>49</v>
      </c>
      <c r="L3" s="2" t="s">
        <v>50</v>
      </c>
      <c r="M3" s="2"/>
      <c r="N3" s="2" t="n">
        <v>326</v>
      </c>
      <c r="O3" s="4" t="s">
        <v>70</v>
      </c>
      <c r="P3" s="4"/>
      <c r="Q3" s="3" t="s">
        <v>71</v>
      </c>
      <c r="R3" s="2" t="s">
        <v>72</v>
      </c>
      <c r="S3" s="2" t="s">
        <v>73</v>
      </c>
      <c r="T3" s="2"/>
      <c r="U3" s="2" t="s">
        <v>74</v>
      </c>
      <c r="V3" s="3" t="s">
        <v>75</v>
      </c>
      <c r="W3" s="3" t="s">
        <v>76</v>
      </c>
      <c r="X3" s="2"/>
      <c r="Y3" s="2"/>
      <c r="Z3" s="2"/>
      <c r="AA3" s="2"/>
      <c r="AB3" s="2"/>
      <c r="AC3" s="2" t="s">
        <v>77</v>
      </c>
      <c r="AD3" s="2"/>
      <c r="AE3" s="2" t="s">
        <v>63</v>
      </c>
      <c r="AF3" s="2" t="s">
        <v>64</v>
      </c>
      <c r="AG3" s="2" t="n">
        <v>20</v>
      </c>
      <c r="AH3" s="2" t="n">
        <v>8</v>
      </c>
      <c r="AI3" s="2" t="n">
        <v>6</v>
      </c>
      <c r="AJ3" s="2" t="n">
        <v>15</v>
      </c>
      <c r="AK3" s="2" t="n">
        <v>0</v>
      </c>
      <c r="AL3" s="2" t="n">
        <v>0</v>
      </c>
      <c r="AM3" s="5" t="n">
        <f aca="false">SUM(AG3:AL3)</f>
        <v>49</v>
      </c>
      <c r="AN3" s="5" t="str">
        <f aca="false">IF(AM3&gt;=80,"A",IF(AM3&gt;=60,"B","C"))</f>
        <v>C</v>
      </c>
      <c r="AO3" s="4" t="s">
        <v>78</v>
      </c>
      <c r="AP3" s="4" t="s">
        <v>79</v>
      </c>
      <c r="AQ3" s="2" t="s">
        <v>66</v>
      </c>
    </row>
    <row r="4" customFormat="false" ht="53.7" hidden="false" customHeight="false" outlineLevel="0" collapsed="false">
      <c r="A4" s="2" t="s">
        <v>80</v>
      </c>
      <c r="B4" s="2" t="s">
        <v>81</v>
      </c>
      <c r="C4" s="2"/>
      <c r="D4" s="2" t="s">
        <v>45</v>
      </c>
      <c r="E4" s="2" t="s">
        <v>82</v>
      </c>
      <c r="F4" s="2"/>
      <c r="G4" s="2"/>
      <c r="H4" s="2"/>
      <c r="I4" s="2"/>
      <c r="J4" s="2" t="s">
        <v>48</v>
      </c>
      <c r="K4" s="2" t="s">
        <v>49</v>
      </c>
      <c r="L4" s="2" t="s">
        <v>50</v>
      </c>
      <c r="M4" s="2"/>
      <c r="N4" s="2" t="n">
        <v>560</v>
      </c>
      <c r="O4" s="4" t="s">
        <v>70</v>
      </c>
      <c r="P4" s="4"/>
      <c r="Q4" s="3" t="s">
        <v>83</v>
      </c>
      <c r="R4" s="2" t="s">
        <v>84</v>
      </c>
      <c r="S4" s="2"/>
      <c r="T4" s="2"/>
      <c r="U4" s="2"/>
      <c r="V4" s="3" t="s">
        <v>85</v>
      </c>
      <c r="W4" s="3" t="s">
        <v>86</v>
      </c>
      <c r="X4" s="3" t="s">
        <v>87</v>
      </c>
      <c r="Y4" s="2"/>
      <c r="Z4" s="2"/>
      <c r="AA4" s="2"/>
      <c r="AB4" s="2"/>
      <c r="AC4" s="2" t="s">
        <v>77</v>
      </c>
      <c r="AD4" s="2"/>
      <c r="AE4" s="2" t="s">
        <v>63</v>
      </c>
      <c r="AF4" s="2" t="s">
        <v>88</v>
      </c>
      <c r="AG4" s="2" t="n">
        <v>20</v>
      </c>
      <c r="AH4" s="2" t="n">
        <v>8</v>
      </c>
      <c r="AI4" s="2" t="n">
        <v>0</v>
      </c>
      <c r="AJ4" s="2" t="n">
        <v>10</v>
      </c>
      <c r="AK4" s="2" t="n">
        <v>0</v>
      </c>
      <c r="AL4" s="2" t="n">
        <v>0</v>
      </c>
      <c r="AM4" s="5" t="n">
        <f aca="false">SUM(AG4:AL4)</f>
        <v>38</v>
      </c>
      <c r="AN4" s="5" t="str">
        <f aca="false">IF(AM4&gt;=80,"A",IF(AM4&gt;=60,"B","C"))</f>
        <v>C</v>
      </c>
      <c r="AO4" s="4" t="s">
        <v>89</v>
      </c>
      <c r="AP4" s="4" t="s">
        <v>90</v>
      </c>
      <c r="AQ4" s="2" t="s">
        <v>66</v>
      </c>
    </row>
    <row r="5" customFormat="false" ht="32.8" hidden="false" customHeight="false" outlineLevel="0" collapsed="false">
      <c r="A5" s="2" t="s">
        <v>91</v>
      </c>
      <c r="B5" s="2" t="s">
        <v>92</v>
      </c>
      <c r="C5" s="2"/>
      <c r="D5" s="2" t="s">
        <v>45</v>
      </c>
      <c r="E5" s="2" t="s">
        <v>93</v>
      </c>
      <c r="F5" s="2"/>
      <c r="G5" s="2"/>
      <c r="H5" s="2"/>
      <c r="I5" s="2"/>
      <c r="J5" s="2" t="s">
        <v>48</v>
      </c>
      <c r="K5" s="2" t="s">
        <v>49</v>
      </c>
      <c r="L5" s="2" t="s">
        <v>50</v>
      </c>
      <c r="M5" s="2"/>
      <c r="N5" s="2"/>
      <c r="O5" s="4"/>
      <c r="P5" s="4"/>
      <c r="Q5" s="3" t="s">
        <v>94</v>
      </c>
      <c r="R5" s="2"/>
      <c r="S5" s="2" t="s">
        <v>95</v>
      </c>
      <c r="T5" s="2"/>
      <c r="U5" s="2" t="s">
        <v>96</v>
      </c>
      <c r="V5" s="2"/>
      <c r="W5" s="2"/>
      <c r="X5" s="2"/>
      <c r="Y5" s="2"/>
      <c r="Z5" s="2"/>
      <c r="AA5" s="2"/>
      <c r="AB5" s="2"/>
      <c r="AC5" s="2" t="s">
        <v>77</v>
      </c>
      <c r="AD5" s="2"/>
      <c r="AE5" s="2" t="s">
        <v>63</v>
      </c>
      <c r="AF5" s="2" t="s">
        <v>97</v>
      </c>
      <c r="AG5" s="2" t="n">
        <v>0</v>
      </c>
      <c r="AH5" s="2" t="n">
        <v>8</v>
      </c>
      <c r="AI5" s="2" t="n">
        <v>6</v>
      </c>
      <c r="AJ5" s="2" t="n">
        <v>15</v>
      </c>
      <c r="AK5" s="2" t="n">
        <v>0</v>
      </c>
      <c r="AL5" s="2" t="n">
        <v>0</v>
      </c>
      <c r="AM5" s="5" t="n">
        <f aca="false">SUM(AG5:AL5)</f>
        <v>29</v>
      </c>
      <c r="AN5" s="5" t="str">
        <f aca="false">IF(AM5&gt;=80,"A",IF(AM5&gt;=60,"B","C"))</f>
        <v>C</v>
      </c>
      <c r="AO5" s="4"/>
      <c r="AP5" s="4" t="s">
        <v>98</v>
      </c>
      <c r="AQ5" s="2" t="s">
        <v>66</v>
      </c>
    </row>
    <row r="6" customFormat="false" ht="74.6" hidden="false" customHeight="false" outlineLevel="0" collapsed="false">
      <c r="A6" s="2" t="s">
        <v>99</v>
      </c>
      <c r="B6" s="2" t="s">
        <v>100</v>
      </c>
      <c r="C6" s="2" t="s">
        <v>101</v>
      </c>
      <c r="D6" s="2" t="s">
        <v>45</v>
      </c>
      <c r="E6" s="2" t="s">
        <v>102</v>
      </c>
      <c r="F6" s="2" t="s">
        <v>103</v>
      </c>
      <c r="G6" s="3" t="s">
        <v>47</v>
      </c>
      <c r="H6" s="2" t="n">
        <v>26.2002060465342</v>
      </c>
      <c r="I6" s="2" t="n">
        <v>50.2165583078384</v>
      </c>
      <c r="J6" s="2" t="s">
        <v>104</v>
      </c>
      <c r="K6" s="2" t="s">
        <v>49</v>
      </c>
      <c r="L6" s="2" t="s">
        <v>50</v>
      </c>
      <c r="M6" s="2"/>
      <c r="N6" s="2"/>
      <c r="O6" s="4" t="s">
        <v>105</v>
      </c>
      <c r="P6" s="4" t="s">
        <v>106</v>
      </c>
      <c r="Q6" s="3" t="s">
        <v>107</v>
      </c>
      <c r="R6" s="2" t="s">
        <v>108</v>
      </c>
      <c r="S6" s="2" t="s">
        <v>109</v>
      </c>
      <c r="T6" s="2"/>
      <c r="U6" s="2"/>
      <c r="V6" s="3" t="s">
        <v>110</v>
      </c>
      <c r="W6" s="3" t="s">
        <v>111</v>
      </c>
      <c r="X6" s="3" t="s">
        <v>112</v>
      </c>
      <c r="Y6" s="2" t="s">
        <v>113</v>
      </c>
      <c r="Z6" s="2"/>
      <c r="AA6" s="2"/>
      <c r="AB6" s="2"/>
      <c r="AC6" s="2" t="s">
        <v>77</v>
      </c>
      <c r="AD6" s="2"/>
      <c r="AE6" s="2" t="s">
        <v>63</v>
      </c>
      <c r="AF6" s="2" t="s">
        <v>64</v>
      </c>
      <c r="AG6" s="2" t="n">
        <v>0</v>
      </c>
      <c r="AH6" s="2" t="n">
        <v>8</v>
      </c>
      <c r="AI6" s="2" t="n">
        <v>6</v>
      </c>
      <c r="AJ6" s="2" t="n">
        <v>10</v>
      </c>
      <c r="AK6" s="2" t="n">
        <v>0</v>
      </c>
      <c r="AL6" s="2" t="n">
        <v>5</v>
      </c>
      <c r="AM6" s="5" t="n">
        <f aca="false">SUM(AG6:AL6)</f>
        <v>29</v>
      </c>
      <c r="AN6" s="5" t="str">
        <f aca="false">IF(AM6&gt;=80,"A",IF(AM6&gt;=60,"B","C"))</f>
        <v>C</v>
      </c>
      <c r="AO6" s="4"/>
      <c r="AP6" s="4" t="s">
        <v>114</v>
      </c>
      <c r="AQ6" s="2" t="s">
        <v>66</v>
      </c>
    </row>
    <row r="7" customFormat="false" ht="137.3" hidden="false" customHeight="false" outlineLevel="0" collapsed="false">
      <c r="A7" s="2" t="s">
        <v>115</v>
      </c>
      <c r="B7" s="2" t="s">
        <v>116</v>
      </c>
      <c r="C7" s="2" t="s">
        <v>117</v>
      </c>
      <c r="D7" s="2" t="s">
        <v>45</v>
      </c>
      <c r="E7" s="2" t="s">
        <v>118</v>
      </c>
      <c r="F7" s="2" t="s">
        <v>45</v>
      </c>
      <c r="G7" s="3" t="s">
        <v>47</v>
      </c>
      <c r="H7" s="2" t="n">
        <v>26.3664179421921</v>
      </c>
      <c r="I7" s="2" t="n">
        <v>50.2104377746582</v>
      </c>
      <c r="J7" s="2" t="s">
        <v>119</v>
      </c>
      <c r="K7" s="2" t="s">
        <v>49</v>
      </c>
      <c r="L7" s="2" t="s">
        <v>50</v>
      </c>
      <c r="M7" s="2"/>
      <c r="N7" s="2" t="n">
        <v>262</v>
      </c>
      <c r="O7" s="4" t="s">
        <v>120</v>
      </c>
      <c r="P7" s="4" t="s">
        <v>121</v>
      </c>
      <c r="Q7" s="3" t="s">
        <v>122</v>
      </c>
      <c r="R7" s="2" t="s">
        <v>123</v>
      </c>
      <c r="S7" s="2"/>
      <c r="T7" s="2"/>
      <c r="U7" s="2" t="s">
        <v>124</v>
      </c>
      <c r="V7" s="3" t="s">
        <v>125</v>
      </c>
      <c r="W7" s="3" t="s">
        <v>126</v>
      </c>
      <c r="X7" s="3" t="s">
        <v>127</v>
      </c>
      <c r="Y7" s="2"/>
      <c r="Z7" s="2" t="s">
        <v>128</v>
      </c>
      <c r="AA7" s="2"/>
      <c r="AB7" s="2" t="s">
        <v>128</v>
      </c>
      <c r="AC7" s="2" t="s">
        <v>61</v>
      </c>
      <c r="AD7" s="3" t="s">
        <v>129</v>
      </c>
      <c r="AE7" s="2" t="s">
        <v>63</v>
      </c>
      <c r="AF7" s="2" t="s">
        <v>64</v>
      </c>
      <c r="AG7" s="2" t="n">
        <v>20</v>
      </c>
      <c r="AH7" s="2" t="n">
        <v>8</v>
      </c>
      <c r="AI7" s="2" t="n">
        <v>6</v>
      </c>
      <c r="AJ7" s="2" t="n">
        <v>15</v>
      </c>
      <c r="AK7" s="2" t="n">
        <v>10</v>
      </c>
      <c r="AL7" s="2" t="n">
        <v>5</v>
      </c>
      <c r="AM7" s="5" t="n">
        <f aca="false">SUM(AG7:AL7)</f>
        <v>64</v>
      </c>
      <c r="AN7" s="5" t="str">
        <f aca="false">IF(AM7&gt;=80,"A",IF(AM7&gt;=60,"B","C"))</f>
        <v>B</v>
      </c>
      <c r="AO7" s="4" t="s">
        <v>130</v>
      </c>
      <c r="AP7" s="4" t="s">
        <v>131</v>
      </c>
      <c r="AQ7" s="2" t="s">
        <v>66</v>
      </c>
    </row>
    <row r="8" customFormat="false" ht="74.6" hidden="false" customHeight="false" outlineLevel="0" collapsed="false">
      <c r="A8" s="2" t="s">
        <v>132</v>
      </c>
      <c r="B8" s="2" t="s">
        <v>133</v>
      </c>
      <c r="C8" s="2"/>
      <c r="D8" s="2" t="s">
        <v>45</v>
      </c>
      <c r="E8" s="2" t="s">
        <v>134</v>
      </c>
      <c r="F8" s="2" t="s">
        <v>135</v>
      </c>
      <c r="G8" s="3" t="s">
        <v>47</v>
      </c>
      <c r="H8" s="2" t="n">
        <v>26.367622899546</v>
      </c>
      <c r="I8" s="2" t="n">
        <v>50.1739701931</v>
      </c>
      <c r="J8" s="2" t="s">
        <v>119</v>
      </c>
      <c r="K8" s="2" t="s">
        <v>49</v>
      </c>
      <c r="L8" s="2" t="s">
        <v>50</v>
      </c>
      <c r="M8" s="2"/>
      <c r="N8" s="2" t="n">
        <v>254</v>
      </c>
      <c r="O8" s="4" t="s">
        <v>136</v>
      </c>
      <c r="P8" s="4" t="s">
        <v>137</v>
      </c>
      <c r="Q8" s="3" t="s">
        <v>138</v>
      </c>
      <c r="R8" s="2" t="s">
        <v>139</v>
      </c>
      <c r="S8" s="2"/>
      <c r="T8" s="2" t="s">
        <v>139</v>
      </c>
      <c r="U8" s="2" t="s">
        <v>140</v>
      </c>
      <c r="V8" s="2"/>
      <c r="W8" s="2"/>
      <c r="X8" s="2"/>
      <c r="Y8" s="2" t="s">
        <v>141</v>
      </c>
      <c r="Z8" s="2" t="s">
        <v>142</v>
      </c>
      <c r="AA8" s="2"/>
      <c r="AB8" s="2" t="s">
        <v>142</v>
      </c>
      <c r="AC8" s="2" t="s">
        <v>143</v>
      </c>
      <c r="AD8" s="3" t="s">
        <v>144</v>
      </c>
      <c r="AE8" s="2" t="s">
        <v>63</v>
      </c>
      <c r="AF8" s="2" t="s">
        <v>145</v>
      </c>
      <c r="AG8" s="2" t="n">
        <v>20</v>
      </c>
      <c r="AH8" s="2" t="n">
        <v>8</v>
      </c>
      <c r="AI8" s="2" t="n">
        <v>6</v>
      </c>
      <c r="AJ8" s="2" t="n">
        <v>15</v>
      </c>
      <c r="AK8" s="2" t="n">
        <v>10</v>
      </c>
      <c r="AL8" s="2" t="n">
        <v>5</v>
      </c>
      <c r="AM8" s="5" t="n">
        <f aca="false">SUM(AG8:AL8)</f>
        <v>64</v>
      </c>
      <c r="AN8" s="5" t="str">
        <f aca="false">IF(AM8&gt;=80,"A",IF(AM8&gt;=60,"B","C"))</f>
        <v>B</v>
      </c>
      <c r="AO8" s="4"/>
      <c r="AP8" s="4" t="s">
        <v>146</v>
      </c>
      <c r="AQ8" s="2" t="s">
        <v>66</v>
      </c>
    </row>
    <row r="9" customFormat="false" ht="74.6" hidden="false" customHeight="false" outlineLevel="0" collapsed="false">
      <c r="A9" s="2" t="s">
        <v>147</v>
      </c>
      <c r="B9" s="2" t="s">
        <v>148</v>
      </c>
      <c r="C9" s="2"/>
      <c r="D9" s="2" t="s">
        <v>45</v>
      </c>
      <c r="E9" s="2" t="s">
        <v>149</v>
      </c>
      <c r="F9" s="2" t="s">
        <v>45</v>
      </c>
      <c r="G9" s="3" t="s">
        <v>47</v>
      </c>
      <c r="H9" s="2" t="n">
        <v>26.2491442058474</v>
      </c>
      <c r="I9" s="2" t="n">
        <v>50.1603767578125</v>
      </c>
      <c r="J9" s="2" t="s">
        <v>104</v>
      </c>
      <c r="K9" s="2" t="s">
        <v>49</v>
      </c>
      <c r="L9" s="2" t="s">
        <v>50</v>
      </c>
      <c r="M9" s="2"/>
      <c r="N9" s="2" t="n">
        <v>52</v>
      </c>
      <c r="O9" s="4" t="s">
        <v>150</v>
      </c>
      <c r="P9" s="4" t="s">
        <v>151</v>
      </c>
      <c r="Q9" s="2"/>
      <c r="R9" s="2"/>
      <c r="S9" s="2"/>
      <c r="T9" s="2"/>
      <c r="U9" s="2"/>
      <c r="V9" s="2"/>
      <c r="W9" s="2"/>
      <c r="X9" s="2"/>
      <c r="Y9" s="2"/>
      <c r="Z9" s="2"/>
      <c r="AA9" s="2"/>
      <c r="AB9" s="2"/>
      <c r="AC9" s="2" t="s">
        <v>152</v>
      </c>
      <c r="AD9" s="2"/>
      <c r="AE9" s="2" t="s">
        <v>153</v>
      </c>
      <c r="AF9" s="2" t="s">
        <v>154</v>
      </c>
      <c r="AG9" s="2" t="n">
        <v>10</v>
      </c>
      <c r="AH9" s="2" t="n">
        <v>8</v>
      </c>
      <c r="AI9" s="2" t="n">
        <v>20</v>
      </c>
      <c r="AJ9" s="2" t="n">
        <v>0</v>
      </c>
      <c r="AK9" s="2" t="n">
        <v>0</v>
      </c>
      <c r="AL9" s="2" t="n">
        <v>5</v>
      </c>
      <c r="AM9" s="5" t="n">
        <f aca="false">SUM(AG9:AL9)</f>
        <v>43</v>
      </c>
      <c r="AN9" s="5" t="str">
        <f aca="false">IF(AM9&gt;=80,"A",IF(AM9&gt;=60,"B","C"))</f>
        <v>C</v>
      </c>
      <c r="AO9" s="4" t="s">
        <v>155</v>
      </c>
      <c r="AP9" s="4" t="s">
        <v>156</v>
      </c>
      <c r="AQ9" s="2" t="s">
        <v>66</v>
      </c>
    </row>
    <row r="10" customFormat="false" ht="74.6" hidden="false" customHeight="false" outlineLevel="0" collapsed="false">
      <c r="A10" s="2" t="s">
        <v>157</v>
      </c>
      <c r="B10" s="2" t="s">
        <v>158</v>
      </c>
      <c r="C10" s="2"/>
      <c r="D10" s="2" t="s">
        <v>45</v>
      </c>
      <c r="E10" s="2" t="s">
        <v>149</v>
      </c>
      <c r="F10" s="2" t="s">
        <v>159</v>
      </c>
      <c r="G10" s="3" t="s">
        <v>47</v>
      </c>
      <c r="H10" s="2" t="n">
        <v>26.3360987604395</v>
      </c>
      <c r="I10" s="2" t="n">
        <v>50.1818129722595</v>
      </c>
      <c r="J10" s="2" t="s">
        <v>119</v>
      </c>
      <c r="K10" s="2" t="s">
        <v>49</v>
      </c>
      <c r="L10" s="2" t="s">
        <v>50</v>
      </c>
      <c r="M10" s="2" t="s">
        <v>160</v>
      </c>
      <c r="N10" s="2" t="n">
        <v>134</v>
      </c>
      <c r="O10" s="4" t="s">
        <v>161</v>
      </c>
      <c r="P10" s="4" t="s">
        <v>162</v>
      </c>
      <c r="Q10" s="2"/>
      <c r="R10" s="2"/>
      <c r="S10" s="2"/>
      <c r="T10" s="2"/>
      <c r="U10" s="2"/>
      <c r="V10" s="2"/>
      <c r="W10" s="2"/>
      <c r="X10" s="2"/>
      <c r="Y10" s="2"/>
      <c r="Z10" s="2"/>
      <c r="AA10" s="2"/>
      <c r="AB10" s="2"/>
      <c r="AC10" s="2" t="s">
        <v>152</v>
      </c>
      <c r="AD10" s="2"/>
      <c r="AE10" s="2" t="s">
        <v>153</v>
      </c>
      <c r="AF10" s="2" t="s">
        <v>154</v>
      </c>
      <c r="AG10" s="2" t="n">
        <v>15</v>
      </c>
      <c r="AH10" s="2" t="n">
        <v>8</v>
      </c>
      <c r="AI10" s="2" t="n">
        <v>20</v>
      </c>
      <c r="AJ10" s="2" t="n">
        <v>0</v>
      </c>
      <c r="AK10" s="2" t="n">
        <v>0</v>
      </c>
      <c r="AL10" s="2" t="n">
        <v>5</v>
      </c>
      <c r="AM10" s="5" t="n">
        <f aca="false">SUM(AG10:AL10)</f>
        <v>48</v>
      </c>
      <c r="AN10" s="5" t="str">
        <f aca="false">IF(AM10&gt;=80,"A",IF(AM10&gt;=60,"B","C"))</f>
        <v>C</v>
      </c>
      <c r="AO10" s="4" t="s">
        <v>163</v>
      </c>
      <c r="AP10" s="4" t="s">
        <v>164</v>
      </c>
      <c r="AQ10" s="2" t="s">
        <v>66</v>
      </c>
    </row>
    <row r="11" customFormat="false" ht="74.6" hidden="false" customHeight="false" outlineLevel="0" collapsed="false">
      <c r="A11" s="2" t="s">
        <v>165</v>
      </c>
      <c r="B11" s="2" t="s">
        <v>166</v>
      </c>
      <c r="C11" s="2"/>
      <c r="D11" s="2" t="s">
        <v>45</v>
      </c>
      <c r="E11" s="2" t="s">
        <v>167</v>
      </c>
      <c r="F11" s="2" t="s">
        <v>168</v>
      </c>
      <c r="G11" s="3" t="s">
        <v>47</v>
      </c>
      <c r="H11" s="2" t="n">
        <v>26.3773567214983</v>
      </c>
      <c r="I11" s="2" t="n">
        <v>50.2182912826538</v>
      </c>
      <c r="J11" s="2" t="s">
        <v>119</v>
      </c>
      <c r="K11" s="2" t="s">
        <v>49</v>
      </c>
      <c r="L11" s="2" t="s">
        <v>50</v>
      </c>
      <c r="M11" s="2"/>
      <c r="N11" s="2"/>
      <c r="O11" s="4"/>
      <c r="P11" s="4" t="s">
        <v>169</v>
      </c>
      <c r="Q11" s="3" t="s">
        <v>170</v>
      </c>
      <c r="R11" s="2" t="s">
        <v>171</v>
      </c>
      <c r="S11" s="2"/>
      <c r="T11" s="2" t="s">
        <v>172</v>
      </c>
      <c r="U11" s="2" t="s">
        <v>173</v>
      </c>
      <c r="V11" s="2"/>
      <c r="W11" s="2"/>
      <c r="X11" s="2"/>
      <c r="Y11" s="2"/>
      <c r="Z11" s="2"/>
      <c r="AA11" s="2"/>
      <c r="AB11" s="2"/>
      <c r="AC11" s="2" t="s">
        <v>77</v>
      </c>
      <c r="AD11" s="2"/>
      <c r="AE11" s="2" t="s">
        <v>63</v>
      </c>
      <c r="AF11" s="2" t="s">
        <v>97</v>
      </c>
      <c r="AG11" s="2" t="n">
        <v>0</v>
      </c>
      <c r="AH11" s="2" t="n">
        <v>8</v>
      </c>
      <c r="AI11" s="2" t="n">
        <v>12</v>
      </c>
      <c r="AJ11" s="2" t="n">
        <v>15</v>
      </c>
      <c r="AK11" s="2" t="n">
        <v>0</v>
      </c>
      <c r="AL11" s="2" t="n">
        <v>5</v>
      </c>
      <c r="AM11" s="5" t="n">
        <f aca="false">SUM(AG11:AL11)</f>
        <v>40</v>
      </c>
      <c r="AN11" s="5" t="str">
        <f aca="false">IF(AM11&gt;=80,"A",IF(AM11&gt;=60,"B","C"))</f>
        <v>C</v>
      </c>
      <c r="AO11" s="4"/>
      <c r="AP11" s="4" t="s">
        <v>174</v>
      </c>
      <c r="AQ11" s="2" t="s">
        <v>66</v>
      </c>
    </row>
    <row r="12" customFormat="false" ht="105.95" hidden="false" customHeight="false" outlineLevel="0" collapsed="false">
      <c r="A12" s="2" t="s">
        <v>175</v>
      </c>
      <c r="B12" s="2" t="s">
        <v>176</v>
      </c>
      <c r="C12" s="2" t="s">
        <v>177</v>
      </c>
      <c r="D12" s="2" t="s">
        <v>45</v>
      </c>
      <c r="E12" s="2" t="s">
        <v>178</v>
      </c>
      <c r="F12" s="2"/>
      <c r="G12" s="2"/>
      <c r="H12" s="2"/>
      <c r="I12" s="2"/>
      <c r="J12" s="2" t="s">
        <v>104</v>
      </c>
      <c r="K12" s="2" t="s">
        <v>49</v>
      </c>
      <c r="L12" s="2" t="s">
        <v>50</v>
      </c>
      <c r="M12" s="2"/>
      <c r="N12" s="2"/>
      <c r="O12" s="4" t="s">
        <v>179</v>
      </c>
      <c r="P12" s="4"/>
      <c r="Q12" s="3" t="s">
        <v>180</v>
      </c>
      <c r="R12" s="2"/>
      <c r="S12" s="2" t="s">
        <v>181</v>
      </c>
      <c r="T12" s="2"/>
      <c r="U12" s="2" t="s">
        <v>182</v>
      </c>
      <c r="V12" s="2"/>
      <c r="W12" s="2"/>
      <c r="X12" s="2"/>
      <c r="Y12" s="2"/>
      <c r="Z12" s="2"/>
      <c r="AA12" s="2"/>
      <c r="AB12" s="2"/>
      <c r="AC12" s="2" t="s">
        <v>77</v>
      </c>
      <c r="AD12" s="2"/>
      <c r="AE12" s="2" t="s">
        <v>183</v>
      </c>
      <c r="AF12" s="2" t="s">
        <v>97</v>
      </c>
      <c r="AG12" s="2" t="n">
        <v>0</v>
      </c>
      <c r="AH12" s="2" t="n">
        <v>8</v>
      </c>
      <c r="AI12" s="2" t="n">
        <v>12</v>
      </c>
      <c r="AJ12" s="2" t="n">
        <v>15</v>
      </c>
      <c r="AK12" s="2" t="n">
        <v>0</v>
      </c>
      <c r="AL12" s="2" t="n">
        <v>0</v>
      </c>
      <c r="AM12" s="5" t="n">
        <f aca="false">SUM(AG12:AL12)</f>
        <v>35</v>
      </c>
      <c r="AN12" s="5" t="str">
        <f aca="false">IF(AM12&gt;=80,"A",IF(AM12&gt;=60,"B","C"))</f>
        <v>C</v>
      </c>
      <c r="AO12" s="4"/>
      <c r="AP12" s="4" t="s">
        <v>184</v>
      </c>
      <c r="AQ12" s="2" t="s">
        <v>66</v>
      </c>
    </row>
    <row r="13" customFormat="false" ht="85.05" hidden="false" customHeight="false" outlineLevel="0" collapsed="false">
      <c r="A13" s="2" t="s">
        <v>185</v>
      </c>
      <c r="B13" s="2" t="s">
        <v>186</v>
      </c>
      <c r="C13" s="2"/>
      <c r="D13" s="2" t="s">
        <v>45</v>
      </c>
      <c r="E13" s="2" t="s">
        <v>187</v>
      </c>
      <c r="F13" s="2" t="s">
        <v>188</v>
      </c>
      <c r="G13" s="3" t="s">
        <v>47</v>
      </c>
      <c r="H13" s="2" t="n">
        <v>26.2003865436615</v>
      </c>
      <c r="I13" s="2" t="n">
        <v>50.2150079910279</v>
      </c>
      <c r="J13" s="2" t="s">
        <v>48</v>
      </c>
      <c r="K13" s="2" t="s">
        <v>49</v>
      </c>
      <c r="L13" s="2" t="s">
        <v>50</v>
      </c>
      <c r="M13" s="2"/>
      <c r="N13" s="2"/>
      <c r="O13" s="4"/>
      <c r="P13" s="4" t="s">
        <v>189</v>
      </c>
      <c r="Q13" s="3" t="s">
        <v>190</v>
      </c>
      <c r="R13" s="2"/>
      <c r="S13" s="2"/>
      <c r="T13" s="2"/>
      <c r="U13" s="2" t="s">
        <v>191</v>
      </c>
      <c r="V13" s="3" t="s">
        <v>192</v>
      </c>
      <c r="W13" s="3" t="s">
        <v>193</v>
      </c>
      <c r="X13" s="2"/>
      <c r="Y13" s="2" t="s">
        <v>194</v>
      </c>
      <c r="Z13" s="2"/>
      <c r="AA13" s="2"/>
      <c r="AB13" s="2"/>
      <c r="AC13" s="2" t="s">
        <v>77</v>
      </c>
      <c r="AD13" s="2"/>
      <c r="AE13" s="2" t="s">
        <v>63</v>
      </c>
      <c r="AF13" s="2" t="s">
        <v>64</v>
      </c>
      <c r="AG13" s="2" t="n">
        <v>0</v>
      </c>
      <c r="AH13" s="2" t="n">
        <v>8</v>
      </c>
      <c r="AI13" s="2" t="n">
        <v>6</v>
      </c>
      <c r="AJ13" s="2" t="n">
        <v>10</v>
      </c>
      <c r="AK13" s="2" t="n">
        <v>0</v>
      </c>
      <c r="AL13" s="2" t="n">
        <v>5</v>
      </c>
      <c r="AM13" s="5" t="n">
        <f aca="false">SUM(AG13:AL13)</f>
        <v>29</v>
      </c>
      <c r="AN13" s="5" t="str">
        <f aca="false">IF(AM13&gt;=80,"A",IF(AM13&gt;=60,"B","C"))</f>
        <v>C</v>
      </c>
      <c r="AO13" s="4"/>
      <c r="AP13" s="4" t="s">
        <v>195</v>
      </c>
      <c r="AQ13" s="2" t="s">
        <v>66</v>
      </c>
    </row>
    <row r="14" customFormat="false" ht="74.6" hidden="false" customHeight="false" outlineLevel="0" collapsed="false">
      <c r="A14" s="2" t="s">
        <v>196</v>
      </c>
      <c r="B14" s="2" t="s">
        <v>197</v>
      </c>
      <c r="C14" s="2"/>
      <c r="D14" s="2" t="s">
        <v>45</v>
      </c>
      <c r="E14" s="2"/>
      <c r="F14" s="2" t="s">
        <v>45</v>
      </c>
      <c r="G14" s="3" t="s">
        <v>47</v>
      </c>
      <c r="H14" s="2" t="n">
        <v>26.3381914958484</v>
      </c>
      <c r="I14" s="2" t="n">
        <v>50.1796674728394</v>
      </c>
      <c r="J14" s="2" t="s">
        <v>119</v>
      </c>
      <c r="K14" s="2" t="s">
        <v>49</v>
      </c>
      <c r="L14" s="2" t="s">
        <v>50</v>
      </c>
      <c r="M14" s="2"/>
      <c r="N14" s="2"/>
      <c r="O14" s="4"/>
      <c r="P14" s="4" t="s">
        <v>198</v>
      </c>
      <c r="Q14" s="3" t="s">
        <v>199</v>
      </c>
      <c r="R14" s="2" t="s">
        <v>200</v>
      </c>
      <c r="S14" s="2" t="s">
        <v>201</v>
      </c>
      <c r="T14" s="2"/>
      <c r="U14" s="2" t="s">
        <v>202</v>
      </c>
      <c r="V14" s="2"/>
      <c r="W14" s="2"/>
      <c r="X14" s="3" t="s">
        <v>203</v>
      </c>
      <c r="Y14" s="2"/>
      <c r="Z14" s="2" t="s">
        <v>204</v>
      </c>
      <c r="AA14" s="2"/>
      <c r="AB14" s="2" t="s">
        <v>205</v>
      </c>
      <c r="AC14" s="2" t="s">
        <v>152</v>
      </c>
      <c r="AD14" s="3" t="s">
        <v>206</v>
      </c>
      <c r="AE14" s="2" t="s">
        <v>207</v>
      </c>
      <c r="AF14" s="2" t="s">
        <v>145</v>
      </c>
      <c r="AG14" s="2" t="n">
        <v>0</v>
      </c>
      <c r="AH14" s="2" t="n">
        <v>8</v>
      </c>
      <c r="AI14" s="2" t="n">
        <v>6</v>
      </c>
      <c r="AJ14" s="2" t="n">
        <v>5</v>
      </c>
      <c r="AK14" s="2" t="n">
        <v>10</v>
      </c>
      <c r="AL14" s="2" t="n">
        <v>5</v>
      </c>
      <c r="AM14" s="5" t="n">
        <f aca="false">SUM(AG14:AL14)</f>
        <v>34</v>
      </c>
      <c r="AN14" s="5" t="str">
        <f aca="false">IF(AM14&gt;=80,"A",IF(AM14&gt;=60,"B","C"))</f>
        <v>C</v>
      </c>
      <c r="AO14" s="4" t="s">
        <v>208</v>
      </c>
      <c r="AP14" s="4" t="s">
        <v>209</v>
      </c>
      <c r="AQ14" s="2" t="s">
        <v>66</v>
      </c>
    </row>
    <row r="15" customFormat="false" ht="74.6" hidden="false" customHeight="false" outlineLevel="0" collapsed="false">
      <c r="A15" s="2" t="s">
        <v>210</v>
      </c>
      <c r="B15" s="2" t="s">
        <v>211</v>
      </c>
      <c r="C15" s="2"/>
      <c r="D15" s="2" t="s">
        <v>45</v>
      </c>
      <c r="E15" s="2" t="s">
        <v>212</v>
      </c>
      <c r="F15" s="2" t="s">
        <v>213</v>
      </c>
      <c r="G15" s="3" t="s">
        <v>47</v>
      </c>
      <c r="H15" s="2" t="n">
        <v>26.3247488262574</v>
      </c>
      <c r="I15" s="2" t="n">
        <v>50.1923489570618</v>
      </c>
      <c r="J15" s="2" t="s">
        <v>119</v>
      </c>
      <c r="K15" s="2" t="s">
        <v>49</v>
      </c>
      <c r="L15" s="2" t="s">
        <v>50</v>
      </c>
      <c r="M15" s="2"/>
      <c r="N15" s="2" t="n">
        <v>86</v>
      </c>
      <c r="O15" s="4" t="s">
        <v>214</v>
      </c>
      <c r="P15" s="4" t="s">
        <v>215</v>
      </c>
      <c r="Q15" s="3" t="s">
        <v>199</v>
      </c>
      <c r="R15" s="2"/>
      <c r="S15" s="2" t="s">
        <v>201</v>
      </c>
      <c r="T15" s="2"/>
      <c r="U15" s="2"/>
      <c r="V15" s="2"/>
      <c r="W15" s="2"/>
      <c r="X15" s="2"/>
      <c r="Y15" s="2"/>
      <c r="Z15" s="2"/>
      <c r="AA15" s="2"/>
      <c r="AB15" s="2" t="s">
        <v>205</v>
      </c>
      <c r="AC15" s="2" t="s">
        <v>152</v>
      </c>
      <c r="AD15" s="3" t="s">
        <v>216</v>
      </c>
      <c r="AE15" s="2" t="s">
        <v>207</v>
      </c>
      <c r="AF15" s="2" t="s">
        <v>217</v>
      </c>
      <c r="AG15" s="2" t="n">
        <v>10</v>
      </c>
      <c r="AH15" s="2" t="n">
        <v>8</v>
      </c>
      <c r="AI15" s="2" t="n">
        <v>12</v>
      </c>
      <c r="AJ15" s="2" t="n">
        <v>5</v>
      </c>
      <c r="AK15" s="2" t="n">
        <v>10</v>
      </c>
      <c r="AL15" s="2" t="n">
        <v>5</v>
      </c>
      <c r="AM15" s="5" t="n">
        <f aca="false">SUM(AG15:AL15)</f>
        <v>50</v>
      </c>
      <c r="AN15" s="5" t="str">
        <f aca="false">IF(AM15&gt;=80,"A",IF(AM15&gt;=60,"B","C"))</f>
        <v>C</v>
      </c>
      <c r="AO15" s="4"/>
      <c r="AP15" s="4" t="s">
        <v>218</v>
      </c>
      <c r="AQ15" s="2" t="s">
        <v>66</v>
      </c>
    </row>
    <row r="16" customFormat="false" ht="147.75" hidden="false" customHeight="false" outlineLevel="0" collapsed="false">
      <c r="A16" s="2" t="s">
        <v>219</v>
      </c>
      <c r="B16" s="2" t="s">
        <v>220</v>
      </c>
      <c r="C16" s="2" t="s">
        <v>221</v>
      </c>
      <c r="D16" s="2" t="s">
        <v>45</v>
      </c>
      <c r="E16" s="2" t="s">
        <v>222</v>
      </c>
      <c r="F16" s="2" t="s">
        <v>223</v>
      </c>
      <c r="G16" s="3" t="s">
        <v>47</v>
      </c>
      <c r="H16" s="2" t="n">
        <v>26.2052854360342</v>
      </c>
      <c r="I16" s="2" t="n">
        <v>50.1810466297673</v>
      </c>
      <c r="J16" s="2" t="s">
        <v>104</v>
      </c>
      <c r="K16" s="2" t="s">
        <v>49</v>
      </c>
      <c r="L16" s="2" t="s">
        <v>50</v>
      </c>
      <c r="M16" s="2"/>
      <c r="N16" s="2" t="n">
        <v>138</v>
      </c>
      <c r="O16" s="4" t="s">
        <v>224</v>
      </c>
      <c r="P16" s="4" t="s">
        <v>225</v>
      </c>
      <c r="Q16" s="3" t="s">
        <v>226</v>
      </c>
      <c r="R16" s="2" t="s">
        <v>227</v>
      </c>
      <c r="S16" s="2" t="s">
        <v>228</v>
      </c>
      <c r="T16" s="2"/>
      <c r="U16" s="2" t="s">
        <v>229</v>
      </c>
      <c r="V16" s="2"/>
      <c r="W16" s="2"/>
      <c r="X16" s="2"/>
      <c r="Y16" s="2"/>
      <c r="Z16" s="2" t="s">
        <v>230</v>
      </c>
      <c r="AA16" s="2"/>
      <c r="AB16" s="2"/>
      <c r="AC16" s="2" t="s">
        <v>61</v>
      </c>
      <c r="AD16" s="3" t="s">
        <v>226</v>
      </c>
      <c r="AE16" s="2" t="s">
        <v>63</v>
      </c>
      <c r="AF16" s="2" t="s">
        <v>97</v>
      </c>
      <c r="AG16" s="2" t="n">
        <v>15</v>
      </c>
      <c r="AH16" s="2" t="n">
        <v>8</v>
      </c>
      <c r="AI16" s="2" t="n">
        <v>12</v>
      </c>
      <c r="AJ16" s="2" t="n">
        <v>15</v>
      </c>
      <c r="AK16" s="2" t="n">
        <v>10</v>
      </c>
      <c r="AL16" s="2" t="n">
        <v>5</v>
      </c>
      <c r="AM16" s="5" t="n">
        <f aca="false">SUM(AG16:AL16)</f>
        <v>65</v>
      </c>
      <c r="AN16" s="5" t="str">
        <f aca="false">IF(AM16&gt;=80,"A",IF(AM16&gt;=60,"B","C"))</f>
        <v>B</v>
      </c>
      <c r="AO16" s="4"/>
      <c r="AP16" s="4" t="s">
        <v>231</v>
      </c>
      <c r="AQ16" s="2" t="s">
        <v>66</v>
      </c>
    </row>
    <row r="17" customFormat="false" ht="137.3" hidden="false" customHeight="false" outlineLevel="0" collapsed="false">
      <c r="A17" s="2" t="s">
        <v>232</v>
      </c>
      <c r="B17" s="2" t="s">
        <v>233</v>
      </c>
      <c r="C17" s="2" t="s">
        <v>234</v>
      </c>
      <c r="D17" s="2" t="s">
        <v>45</v>
      </c>
      <c r="E17" s="2" t="s">
        <v>235</v>
      </c>
      <c r="F17" s="2" t="s">
        <v>236</v>
      </c>
      <c r="G17" s="3" t="s">
        <v>47</v>
      </c>
      <c r="H17" s="2" t="n">
        <v>26.3356338549296</v>
      </c>
      <c r="I17" s="2" t="n">
        <v>50.1797103881836</v>
      </c>
      <c r="J17" s="2" t="s">
        <v>48</v>
      </c>
      <c r="K17" s="2" t="s">
        <v>49</v>
      </c>
      <c r="L17" s="2" t="s">
        <v>50</v>
      </c>
      <c r="M17" s="2"/>
      <c r="N17" s="2" t="n">
        <v>100</v>
      </c>
      <c r="O17" s="4" t="s">
        <v>237</v>
      </c>
      <c r="P17" s="4" t="s">
        <v>238</v>
      </c>
      <c r="Q17" s="2"/>
      <c r="R17" s="2"/>
      <c r="S17" s="2" t="s">
        <v>239</v>
      </c>
      <c r="T17" s="2"/>
      <c r="U17" s="2" t="s">
        <v>240</v>
      </c>
      <c r="V17" s="2"/>
      <c r="W17" s="2"/>
      <c r="X17" s="2"/>
      <c r="Y17" s="2"/>
      <c r="Z17" s="2"/>
      <c r="AA17" s="2"/>
      <c r="AB17" s="2"/>
      <c r="AC17" s="2" t="s">
        <v>77</v>
      </c>
      <c r="AD17" s="2"/>
      <c r="AE17" s="2" t="s">
        <v>183</v>
      </c>
      <c r="AF17" s="2" t="s">
        <v>241</v>
      </c>
      <c r="AG17" s="2" t="n">
        <v>15</v>
      </c>
      <c r="AH17" s="2" t="n">
        <v>8</v>
      </c>
      <c r="AI17" s="2" t="n">
        <v>20</v>
      </c>
      <c r="AJ17" s="2" t="n">
        <v>15</v>
      </c>
      <c r="AK17" s="2" t="n">
        <v>0</v>
      </c>
      <c r="AL17" s="2" t="n">
        <v>5</v>
      </c>
      <c r="AM17" s="5" t="n">
        <f aca="false">SUM(AG17:AL17)</f>
        <v>63</v>
      </c>
      <c r="AN17" s="5" t="str">
        <f aca="false">IF(AM17&gt;=80,"A",IF(AM17&gt;=60,"B","C"))</f>
        <v>B</v>
      </c>
      <c r="AO17" s="4" t="s">
        <v>242</v>
      </c>
      <c r="AP17" s="4" t="s">
        <v>243</v>
      </c>
      <c r="AQ17" s="2" t="s">
        <v>66</v>
      </c>
    </row>
    <row r="18" customFormat="false" ht="105.95" hidden="false" customHeight="false" outlineLevel="0" collapsed="false">
      <c r="A18" s="2" t="s">
        <v>244</v>
      </c>
      <c r="B18" s="2" t="s">
        <v>245</v>
      </c>
      <c r="C18" s="2" t="s">
        <v>246</v>
      </c>
      <c r="D18" s="2" t="s">
        <v>45</v>
      </c>
      <c r="E18" s="2" t="s">
        <v>247</v>
      </c>
      <c r="F18" s="2" t="s">
        <v>248</v>
      </c>
      <c r="G18" s="3" t="s">
        <v>47</v>
      </c>
      <c r="H18" s="2" t="n">
        <v>26.3271955148528</v>
      </c>
      <c r="I18" s="2" t="n">
        <v>50.2251524727471</v>
      </c>
      <c r="J18" s="2" t="s">
        <v>48</v>
      </c>
      <c r="K18" s="2" t="s">
        <v>49</v>
      </c>
      <c r="L18" s="2" t="s">
        <v>50</v>
      </c>
      <c r="M18" s="2"/>
      <c r="N18" s="2" t="n">
        <v>15</v>
      </c>
      <c r="O18" s="4" t="s">
        <v>249</v>
      </c>
      <c r="P18" s="4" t="s">
        <v>250</v>
      </c>
      <c r="Q18" s="2"/>
      <c r="R18" s="2"/>
      <c r="S18" s="2" t="s">
        <v>251</v>
      </c>
      <c r="T18" s="2"/>
      <c r="U18" s="2" t="s">
        <v>252</v>
      </c>
      <c r="V18" s="2"/>
      <c r="W18" s="2"/>
      <c r="X18" s="2"/>
      <c r="Y18" s="2"/>
      <c r="Z18" s="2"/>
      <c r="AA18" s="2"/>
      <c r="AB18" s="2"/>
      <c r="AC18" s="2" t="s">
        <v>77</v>
      </c>
      <c r="AD18" s="2"/>
      <c r="AE18" s="2" t="s">
        <v>207</v>
      </c>
      <c r="AF18" s="2" t="s">
        <v>241</v>
      </c>
      <c r="AG18" s="2" t="n">
        <v>5</v>
      </c>
      <c r="AH18" s="2" t="n">
        <v>8</v>
      </c>
      <c r="AI18" s="2" t="n">
        <v>20</v>
      </c>
      <c r="AJ18" s="2" t="n">
        <v>5</v>
      </c>
      <c r="AK18" s="2" t="n">
        <v>0</v>
      </c>
      <c r="AL18" s="2" t="n">
        <v>5</v>
      </c>
      <c r="AM18" s="5" t="n">
        <f aca="false">SUM(AG18:AL18)</f>
        <v>43</v>
      </c>
      <c r="AN18" s="5" t="str">
        <f aca="false">IF(AM18&gt;=80,"A",IF(AM18&gt;=60,"B","C"))</f>
        <v>C</v>
      </c>
      <c r="AO18" s="4" t="s">
        <v>253</v>
      </c>
      <c r="AP18" s="4" t="s">
        <v>254</v>
      </c>
      <c r="AQ18" s="2" t="s">
        <v>66</v>
      </c>
    </row>
    <row r="19" customFormat="false" ht="105.95" hidden="false" customHeight="false" outlineLevel="0" collapsed="false">
      <c r="A19" s="2" t="s">
        <v>255</v>
      </c>
      <c r="B19" s="2" t="s">
        <v>256</v>
      </c>
      <c r="C19" s="2" t="s">
        <v>257</v>
      </c>
      <c r="D19" s="2" t="s">
        <v>45</v>
      </c>
      <c r="E19" s="2" t="s">
        <v>258</v>
      </c>
      <c r="F19" s="2"/>
      <c r="G19" s="2"/>
      <c r="H19" s="2"/>
      <c r="I19" s="2"/>
      <c r="J19" s="2" t="s">
        <v>119</v>
      </c>
      <c r="K19" s="2" t="s">
        <v>49</v>
      </c>
      <c r="L19" s="2" t="s">
        <v>77</v>
      </c>
      <c r="M19" s="2"/>
      <c r="N19" s="2" t="n">
        <v>124</v>
      </c>
      <c r="O19" s="4" t="s">
        <v>259</v>
      </c>
      <c r="P19" s="4"/>
      <c r="Q19" s="2"/>
      <c r="R19" s="2" t="s">
        <v>260</v>
      </c>
      <c r="S19" s="2" t="s">
        <v>261</v>
      </c>
      <c r="T19" s="2"/>
      <c r="U19" s="2"/>
      <c r="V19" s="2"/>
      <c r="W19" s="2"/>
      <c r="X19" s="2"/>
      <c r="Y19" s="2"/>
      <c r="Z19" s="2"/>
      <c r="AA19" s="2"/>
      <c r="AB19" s="2"/>
      <c r="AC19" s="2" t="s">
        <v>77</v>
      </c>
      <c r="AD19" s="2"/>
      <c r="AE19" s="2" t="s">
        <v>207</v>
      </c>
      <c r="AF19" s="2" t="s">
        <v>241</v>
      </c>
      <c r="AG19" s="2" t="n">
        <v>15</v>
      </c>
      <c r="AH19" s="2" t="n">
        <v>8</v>
      </c>
      <c r="AI19" s="2" t="n">
        <v>20</v>
      </c>
      <c r="AJ19" s="2" t="n">
        <v>5</v>
      </c>
      <c r="AK19" s="2" t="n">
        <v>0</v>
      </c>
      <c r="AL19" s="2" t="n">
        <v>0</v>
      </c>
      <c r="AM19" s="5" t="n">
        <f aca="false">SUM(AG19:AL19)</f>
        <v>48</v>
      </c>
      <c r="AN19" s="5" t="str">
        <f aca="false">IF(AM19&gt;=80,"A",IF(AM19&gt;=60,"B","C"))</f>
        <v>C</v>
      </c>
      <c r="AO19" s="4"/>
      <c r="AP19" s="4" t="s">
        <v>262</v>
      </c>
      <c r="AQ19" s="2" t="s">
        <v>66</v>
      </c>
    </row>
    <row r="20" customFormat="false" ht="95.5" hidden="false" customHeight="false" outlineLevel="0" collapsed="false">
      <c r="A20" s="2" t="s">
        <v>263</v>
      </c>
      <c r="B20" s="2" t="s">
        <v>264</v>
      </c>
      <c r="C20" s="2" t="s">
        <v>265</v>
      </c>
      <c r="D20" s="2" t="s">
        <v>45</v>
      </c>
      <c r="E20" s="2" t="s">
        <v>266</v>
      </c>
      <c r="F20" s="2"/>
      <c r="G20" s="2"/>
      <c r="H20" s="2"/>
      <c r="I20" s="2"/>
      <c r="J20" s="2" t="s">
        <v>48</v>
      </c>
      <c r="K20" s="2" t="s">
        <v>49</v>
      </c>
      <c r="L20" s="2" t="s">
        <v>77</v>
      </c>
      <c r="M20" s="2"/>
      <c r="N20" s="2"/>
      <c r="O20" s="4" t="s">
        <v>70</v>
      </c>
      <c r="P20" s="4"/>
      <c r="Q20" s="2"/>
      <c r="R20" s="2" t="s">
        <v>267</v>
      </c>
      <c r="S20" s="2" t="s">
        <v>268</v>
      </c>
      <c r="T20" s="2"/>
      <c r="U20" s="2"/>
      <c r="V20" s="2"/>
      <c r="W20" s="2"/>
      <c r="X20" s="3" t="s">
        <v>269</v>
      </c>
      <c r="Y20" s="2"/>
      <c r="Z20" s="2" t="s">
        <v>270</v>
      </c>
      <c r="AA20" s="2"/>
      <c r="AB20" s="2"/>
      <c r="AC20" s="2" t="s">
        <v>61</v>
      </c>
      <c r="AD20" s="3" t="s">
        <v>271</v>
      </c>
      <c r="AE20" s="2" t="s">
        <v>207</v>
      </c>
      <c r="AF20" s="2" t="s">
        <v>272</v>
      </c>
      <c r="AG20" s="2" t="n">
        <v>0</v>
      </c>
      <c r="AH20" s="2" t="n">
        <v>8</v>
      </c>
      <c r="AI20" s="2" t="n">
        <v>14</v>
      </c>
      <c r="AJ20" s="2" t="n">
        <v>5</v>
      </c>
      <c r="AK20" s="2" t="n">
        <v>10</v>
      </c>
      <c r="AL20" s="2" t="n">
        <v>0</v>
      </c>
      <c r="AM20" s="5" t="n">
        <f aca="false">SUM(AG20:AL20)</f>
        <v>37</v>
      </c>
      <c r="AN20" s="5" t="str">
        <f aca="false">IF(AM20&gt;=80,"A",IF(AM20&gt;=60,"B","C"))</f>
        <v>C</v>
      </c>
      <c r="AO20" s="4"/>
      <c r="AP20" s="4" t="s">
        <v>271</v>
      </c>
      <c r="AQ20" s="2" t="s">
        <v>66</v>
      </c>
    </row>
    <row r="21" customFormat="false" ht="95.5" hidden="false" customHeight="false" outlineLevel="0" collapsed="false">
      <c r="A21" s="2" t="s">
        <v>273</v>
      </c>
      <c r="B21" s="2" t="s">
        <v>274</v>
      </c>
      <c r="C21" s="2" t="s">
        <v>275</v>
      </c>
      <c r="D21" s="2" t="s">
        <v>45</v>
      </c>
      <c r="E21" s="2" t="s">
        <v>276</v>
      </c>
      <c r="F21" s="2"/>
      <c r="G21" s="2"/>
      <c r="H21" s="2"/>
      <c r="I21" s="2"/>
      <c r="J21" s="2" t="s">
        <v>277</v>
      </c>
      <c r="K21" s="2" t="s">
        <v>49</v>
      </c>
      <c r="L21" s="2" t="s">
        <v>77</v>
      </c>
      <c r="M21" s="2"/>
      <c r="N21" s="2" t="n">
        <v>46</v>
      </c>
      <c r="O21" s="4" t="s">
        <v>278</v>
      </c>
      <c r="P21" s="4"/>
      <c r="Q21" s="2"/>
      <c r="R21" s="2"/>
      <c r="S21" s="2"/>
      <c r="T21" s="2"/>
      <c r="U21" s="2"/>
      <c r="V21" s="2"/>
      <c r="W21" s="2"/>
      <c r="X21" s="2"/>
      <c r="Y21" s="2"/>
      <c r="Z21" s="2"/>
      <c r="AA21" s="2"/>
      <c r="AB21" s="2"/>
      <c r="AC21" s="2" t="s">
        <v>77</v>
      </c>
      <c r="AD21" s="2"/>
      <c r="AE21" s="2" t="s">
        <v>153</v>
      </c>
      <c r="AF21" s="2" t="s">
        <v>241</v>
      </c>
      <c r="AG21" s="2" t="n">
        <v>5</v>
      </c>
      <c r="AH21" s="2" t="n">
        <v>8</v>
      </c>
      <c r="AI21" s="2" t="n">
        <v>20</v>
      </c>
      <c r="AJ21" s="2" t="n">
        <v>0</v>
      </c>
      <c r="AK21" s="2" t="n">
        <v>0</v>
      </c>
      <c r="AL21" s="2" t="n">
        <v>0</v>
      </c>
      <c r="AM21" s="5" t="n">
        <f aca="false">SUM(AG21:AL21)</f>
        <v>33</v>
      </c>
      <c r="AN21" s="5" t="str">
        <f aca="false">IF(AM21&gt;=80,"A",IF(AM21&gt;=60,"B","C"))</f>
        <v>C</v>
      </c>
      <c r="AO21" s="4"/>
      <c r="AP21" s="4" t="s">
        <v>271</v>
      </c>
      <c r="AQ21" s="2" t="s">
        <v>66</v>
      </c>
    </row>
    <row r="22" customFormat="false" ht="95.5" hidden="false" customHeight="false" outlineLevel="0" collapsed="false">
      <c r="A22" s="2" t="s">
        <v>279</v>
      </c>
      <c r="B22" s="2" t="s">
        <v>280</v>
      </c>
      <c r="C22" s="2" t="s">
        <v>281</v>
      </c>
      <c r="D22" s="2" t="s">
        <v>45</v>
      </c>
      <c r="E22" s="2" t="s">
        <v>282</v>
      </c>
      <c r="F22" s="2"/>
      <c r="G22" s="2"/>
      <c r="H22" s="2"/>
      <c r="I22" s="2"/>
      <c r="J22" s="2" t="s">
        <v>277</v>
      </c>
      <c r="K22" s="2" t="s">
        <v>49</v>
      </c>
      <c r="L22" s="2" t="s">
        <v>77</v>
      </c>
      <c r="M22" s="2"/>
      <c r="N22" s="2" t="n">
        <v>96</v>
      </c>
      <c r="O22" s="4" t="s">
        <v>283</v>
      </c>
      <c r="P22" s="4"/>
      <c r="Q22" s="2"/>
      <c r="R22" s="2" t="s">
        <v>284</v>
      </c>
      <c r="S22" s="2"/>
      <c r="T22" s="2"/>
      <c r="U22" s="2"/>
      <c r="V22" s="2"/>
      <c r="W22" s="2"/>
      <c r="X22" s="2"/>
      <c r="Y22" s="2"/>
      <c r="Z22" s="2"/>
      <c r="AA22" s="2" t="s">
        <v>285</v>
      </c>
      <c r="AB22" s="2"/>
      <c r="AC22" s="2" t="s">
        <v>143</v>
      </c>
      <c r="AD22" s="2"/>
      <c r="AE22" s="2" t="s">
        <v>207</v>
      </c>
      <c r="AF22" s="2" t="s">
        <v>154</v>
      </c>
      <c r="AG22" s="2" t="n">
        <v>10</v>
      </c>
      <c r="AH22" s="2" t="n">
        <v>8</v>
      </c>
      <c r="AI22" s="2" t="n">
        <v>20</v>
      </c>
      <c r="AJ22" s="2" t="n">
        <v>5</v>
      </c>
      <c r="AK22" s="2" t="n">
        <v>5</v>
      </c>
      <c r="AL22" s="2" t="n">
        <v>0</v>
      </c>
      <c r="AM22" s="5" t="n">
        <f aca="false">SUM(AG22:AL22)</f>
        <v>48</v>
      </c>
      <c r="AN22" s="5" t="str">
        <f aca="false">IF(AM22&gt;=80,"A",IF(AM22&gt;=60,"B","C"))</f>
        <v>C</v>
      </c>
      <c r="AO22" s="4" t="s">
        <v>286</v>
      </c>
      <c r="AP22" s="4" t="s">
        <v>271</v>
      </c>
      <c r="AQ22" s="2" t="s">
        <v>66</v>
      </c>
    </row>
    <row r="23" customFormat="false" ht="137.3" hidden="false" customHeight="false" outlineLevel="0" collapsed="false">
      <c r="A23" s="2" t="s">
        <v>287</v>
      </c>
      <c r="B23" s="2" t="s">
        <v>288</v>
      </c>
      <c r="C23" s="2" t="s">
        <v>289</v>
      </c>
      <c r="D23" s="2" t="s">
        <v>45</v>
      </c>
      <c r="E23" s="2"/>
      <c r="F23" s="2" t="s">
        <v>290</v>
      </c>
      <c r="G23" s="3" t="s">
        <v>47</v>
      </c>
      <c r="H23" s="2" t="n">
        <v>26.1661303992892</v>
      </c>
      <c r="I23" s="2" t="n">
        <v>50.1956531707764</v>
      </c>
      <c r="J23" s="2" t="s">
        <v>119</v>
      </c>
      <c r="K23" s="2" t="s">
        <v>49</v>
      </c>
      <c r="L23" s="2" t="s">
        <v>50</v>
      </c>
      <c r="M23" s="2"/>
      <c r="N23" s="2"/>
      <c r="O23" s="4" t="s">
        <v>291</v>
      </c>
      <c r="P23" s="4" t="s">
        <v>292</v>
      </c>
      <c r="Q23" s="3" t="s">
        <v>293</v>
      </c>
      <c r="R23" s="2"/>
      <c r="S23" s="2" t="s">
        <v>294</v>
      </c>
      <c r="T23" s="2"/>
      <c r="U23" s="2"/>
      <c r="V23" s="2"/>
      <c r="W23" s="2"/>
      <c r="X23" s="2"/>
      <c r="Y23" s="2"/>
      <c r="Z23" s="2"/>
      <c r="AA23" s="2"/>
      <c r="AB23" s="2"/>
      <c r="AC23" s="2" t="s">
        <v>77</v>
      </c>
      <c r="AD23" s="2"/>
      <c r="AE23" s="2" t="s">
        <v>207</v>
      </c>
      <c r="AF23" s="2" t="s">
        <v>97</v>
      </c>
      <c r="AG23" s="2" t="n">
        <v>0</v>
      </c>
      <c r="AH23" s="2" t="n">
        <v>8</v>
      </c>
      <c r="AI23" s="2" t="n">
        <v>12</v>
      </c>
      <c r="AJ23" s="2" t="n">
        <v>5</v>
      </c>
      <c r="AK23" s="2" t="n">
        <v>0</v>
      </c>
      <c r="AL23" s="2" t="n">
        <v>5</v>
      </c>
      <c r="AM23" s="5" t="n">
        <f aca="false">SUM(AG23:AL23)</f>
        <v>30</v>
      </c>
      <c r="AN23" s="5" t="str">
        <f aca="false">IF(AM23&gt;=80,"A",IF(AM23&gt;=60,"B","C"))</f>
        <v>C</v>
      </c>
      <c r="AO23" s="4" t="s">
        <v>295</v>
      </c>
      <c r="AP23" s="4" t="s">
        <v>296</v>
      </c>
      <c r="AQ23" s="2" t="s">
        <v>66</v>
      </c>
    </row>
    <row r="24" customFormat="false" ht="74.6" hidden="false" customHeight="false" outlineLevel="0" collapsed="false">
      <c r="A24" s="2" t="s">
        <v>297</v>
      </c>
      <c r="B24" s="2" t="s">
        <v>298</v>
      </c>
      <c r="C24" s="2"/>
      <c r="D24" s="2" t="s">
        <v>45</v>
      </c>
      <c r="E24" s="2"/>
      <c r="F24" s="2" t="s">
        <v>299</v>
      </c>
      <c r="G24" s="3" t="s">
        <v>47</v>
      </c>
      <c r="H24" s="2" t="n">
        <v>26.3006418728924</v>
      </c>
      <c r="I24" s="2" t="n">
        <v>50.1713630859375</v>
      </c>
      <c r="J24" s="2" t="s">
        <v>277</v>
      </c>
      <c r="K24" s="2" t="s">
        <v>49</v>
      </c>
      <c r="L24" s="2" t="s">
        <v>50</v>
      </c>
      <c r="M24" s="2"/>
      <c r="N24" s="2"/>
      <c r="O24" s="4"/>
      <c r="P24" s="4" t="s">
        <v>300</v>
      </c>
      <c r="Q24" s="3" t="s">
        <v>301</v>
      </c>
      <c r="R24" s="2" t="s">
        <v>302</v>
      </c>
      <c r="S24" s="2"/>
      <c r="T24" s="2" t="s">
        <v>302</v>
      </c>
      <c r="U24" s="2"/>
      <c r="V24" s="2"/>
      <c r="W24" s="2"/>
      <c r="X24" s="2"/>
      <c r="Y24" s="2"/>
      <c r="Z24" s="2"/>
      <c r="AA24" s="2" t="s">
        <v>303</v>
      </c>
      <c r="AB24" s="2" t="s">
        <v>303</v>
      </c>
      <c r="AC24" s="2" t="s">
        <v>143</v>
      </c>
      <c r="AD24" s="3" t="s">
        <v>304</v>
      </c>
      <c r="AE24" s="2" t="s">
        <v>63</v>
      </c>
      <c r="AF24" s="2" t="s">
        <v>217</v>
      </c>
      <c r="AG24" s="2" t="n">
        <v>0</v>
      </c>
      <c r="AH24" s="2" t="n">
        <v>8</v>
      </c>
      <c r="AI24" s="2" t="n">
        <v>12</v>
      </c>
      <c r="AJ24" s="2" t="n">
        <v>10</v>
      </c>
      <c r="AK24" s="2" t="n">
        <v>10</v>
      </c>
      <c r="AL24" s="2" t="n">
        <v>5</v>
      </c>
      <c r="AM24" s="5" t="n">
        <f aca="false">SUM(AG24:AL24)</f>
        <v>45</v>
      </c>
      <c r="AN24" s="5" t="str">
        <f aca="false">IF(AM24&gt;=80,"A",IF(AM24&gt;=60,"B","C"))</f>
        <v>C</v>
      </c>
      <c r="AO24" s="4"/>
      <c r="AP24" s="4" t="s">
        <v>305</v>
      </c>
      <c r="AQ24" s="2" t="s">
        <v>66</v>
      </c>
    </row>
    <row r="25" customFormat="false" ht="43.25" hidden="false" customHeight="false" outlineLevel="0" collapsed="false">
      <c r="A25" s="2" t="s">
        <v>306</v>
      </c>
      <c r="B25" s="2" t="s">
        <v>307</v>
      </c>
      <c r="C25" s="2"/>
      <c r="D25" s="2" t="s">
        <v>45</v>
      </c>
      <c r="E25" s="2"/>
      <c r="F25" s="2" t="s">
        <v>308</v>
      </c>
      <c r="G25" s="3" t="s">
        <v>47</v>
      </c>
      <c r="H25" s="2" t="n">
        <v>26.3270119840184</v>
      </c>
      <c r="I25" s="2" t="n">
        <v>50.2123150531769</v>
      </c>
      <c r="J25" s="2" t="s">
        <v>277</v>
      </c>
      <c r="K25" s="2" t="s">
        <v>49</v>
      </c>
      <c r="L25" s="2" t="s">
        <v>50</v>
      </c>
      <c r="M25" s="2"/>
      <c r="N25" s="2" t="n">
        <v>66</v>
      </c>
      <c r="O25" s="4"/>
      <c r="P25" s="4" t="s">
        <v>309</v>
      </c>
      <c r="Q25" s="3" t="s">
        <v>301</v>
      </c>
      <c r="R25" s="2" t="s">
        <v>302</v>
      </c>
      <c r="S25" s="2"/>
      <c r="T25" s="2" t="s">
        <v>302</v>
      </c>
      <c r="U25" s="2"/>
      <c r="V25" s="2"/>
      <c r="W25" s="2"/>
      <c r="X25" s="2"/>
      <c r="Y25" s="2"/>
      <c r="Z25" s="2"/>
      <c r="AA25" s="2" t="s">
        <v>303</v>
      </c>
      <c r="AB25" s="2" t="s">
        <v>303</v>
      </c>
      <c r="AC25" s="2" t="s">
        <v>143</v>
      </c>
      <c r="AD25" s="3" t="s">
        <v>310</v>
      </c>
      <c r="AE25" s="2" t="s">
        <v>63</v>
      </c>
      <c r="AF25" s="2" t="s">
        <v>217</v>
      </c>
      <c r="AG25" s="2" t="n">
        <v>10</v>
      </c>
      <c r="AH25" s="2" t="n">
        <v>8</v>
      </c>
      <c r="AI25" s="2" t="n">
        <v>12</v>
      </c>
      <c r="AJ25" s="2" t="n">
        <v>10</v>
      </c>
      <c r="AK25" s="2" t="n">
        <v>10</v>
      </c>
      <c r="AL25" s="2" t="n">
        <v>5</v>
      </c>
      <c r="AM25" s="5" t="n">
        <f aca="false">SUM(AG25:AL25)</f>
        <v>55</v>
      </c>
      <c r="AN25" s="5" t="str">
        <f aca="false">IF(AM25&gt;=80,"A",IF(AM25&gt;=60,"B","C"))</f>
        <v>C</v>
      </c>
      <c r="AO25" s="4"/>
      <c r="AP25" s="4" t="s">
        <v>311</v>
      </c>
      <c r="AQ25" s="2" t="s">
        <v>66</v>
      </c>
    </row>
    <row r="26" customFormat="false" ht="74.6" hidden="false" customHeight="false" outlineLevel="0" collapsed="false">
      <c r="A26" s="2" t="s">
        <v>312</v>
      </c>
      <c r="B26" s="2" t="s">
        <v>313</v>
      </c>
      <c r="C26" s="2"/>
      <c r="D26" s="2" t="s">
        <v>45</v>
      </c>
      <c r="E26" s="2"/>
      <c r="F26" s="2" t="s">
        <v>314</v>
      </c>
      <c r="G26" s="3" t="s">
        <v>47</v>
      </c>
      <c r="H26" s="2" t="n">
        <v>26.3046153658741</v>
      </c>
      <c r="I26" s="2" t="n">
        <v>50.191496014595</v>
      </c>
      <c r="J26" s="2" t="s">
        <v>119</v>
      </c>
      <c r="K26" s="2" t="s">
        <v>49</v>
      </c>
      <c r="L26" s="2" t="s">
        <v>50</v>
      </c>
      <c r="M26" s="2"/>
      <c r="N26" s="2" t="n">
        <v>100</v>
      </c>
      <c r="O26" s="4" t="s">
        <v>315</v>
      </c>
      <c r="P26" s="4" t="s">
        <v>316</v>
      </c>
      <c r="Q26" s="3" t="s">
        <v>317</v>
      </c>
      <c r="R26" s="2" t="s">
        <v>318</v>
      </c>
      <c r="S26" s="2"/>
      <c r="T26" s="2"/>
      <c r="U26" s="2"/>
      <c r="V26" s="2"/>
      <c r="W26" s="2"/>
      <c r="X26" s="2"/>
      <c r="Y26" s="2"/>
      <c r="Z26" s="2"/>
      <c r="AA26" s="2"/>
      <c r="AB26" s="2"/>
      <c r="AC26" s="2" t="s">
        <v>77</v>
      </c>
      <c r="AD26" s="2"/>
      <c r="AE26" s="2" t="s">
        <v>207</v>
      </c>
      <c r="AF26" s="2" t="s">
        <v>97</v>
      </c>
      <c r="AG26" s="2" t="n">
        <v>15</v>
      </c>
      <c r="AH26" s="2" t="n">
        <v>8</v>
      </c>
      <c r="AI26" s="2" t="n">
        <v>12</v>
      </c>
      <c r="AJ26" s="2" t="n">
        <v>5</v>
      </c>
      <c r="AK26" s="2" t="n">
        <v>0</v>
      </c>
      <c r="AL26" s="2" t="n">
        <v>5</v>
      </c>
      <c r="AM26" s="5" t="n">
        <f aca="false">SUM(AG26:AL26)</f>
        <v>45</v>
      </c>
      <c r="AN26" s="5" t="str">
        <f aca="false">IF(AM26&gt;=80,"A",IF(AM26&gt;=60,"B","C"))</f>
        <v>C</v>
      </c>
      <c r="AO26" s="4" t="s">
        <v>319</v>
      </c>
      <c r="AP26" s="4" t="s">
        <v>320</v>
      </c>
      <c r="AQ26" s="2" t="s">
        <v>66</v>
      </c>
    </row>
    <row r="27" customFormat="false" ht="74.6" hidden="false" customHeight="false" outlineLevel="0" collapsed="false">
      <c r="A27" s="2" t="s">
        <v>321</v>
      </c>
      <c r="B27" s="2" t="s">
        <v>322</v>
      </c>
      <c r="C27" s="2"/>
      <c r="D27" s="2" t="s">
        <v>45</v>
      </c>
      <c r="E27" s="2" t="s">
        <v>323</v>
      </c>
      <c r="F27" s="2" t="s">
        <v>324</v>
      </c>
      <c r="G27" s="3" t="s">
        <v>47</v>
      </c>
      <c r="H27" s="2" t="n">
        <v>26.3716567662235</v>
      </c>
      <c r="I27" s="2" t="n">
        <v>50.170419216156</v>
      </c>
      <c r="J27" s="2" t="s">
        <v>119</v>
      </c>
      <c r="K27" s="2" t="s">
        <v>49</v>
      </c>
      <c r="L27" s="2" t="s">
        <v>50</v>
      </c>
      <c r="M27" s="2"/>
      <c r="N27" s="2" t="n">
        <v>129</v>
      </c>
      <c r="O27" s="4" t="s">
        <v>325</v>
      </c>
      <c r="P27" s="4" t="s">
        <v>326</v>
      </c>
      <c r="Q27" s="2"/>
      <c r="R27" s="2"/>
      <c r="S27" s="2" t="s">
        <v>327</v>
      </c>
      <c r="T27" s="2"/>
      <c r="U27" s="2"/>
      <c r="V27" s="2"/>
      <c r="W27" s="2"/>
      <c r="X27" s="2"/>
      <c r="Y27" s="2"/>
      <c r="Z27" s="2" t="s">
        <v>328</v>
      </c>
      <c r="AA27" s="2"/>
      <c r="AB27" s="2"/>
      <c r="AC27" s="2" t="s">
        <v>61</v>
      </c>
      <c r="AD27" s="3" t="s">
        <v>329</v>
      </c>
      <c r="AE27" s="2" t="s">
        <v>207</v>
      </c>
      <c r="AF27" s="2" t="s">
        <v>241</v>
      </c>
      <c r="AG27" s="2" t="n">
        <v>15</v>
      </c>
      <c r="AH27" s="2" t="n">
        <v>8</v>
      </c>
      <c r="AI27" s="2" t="n">
        <v>20</v>
      </c>
      <c r="AJ27" s="2" t="n">
        <v>5</v>
      </c>
      <c r="AK27" s="2" t="n">
        <v>10</v>
      </c>
      <c r="AL27" s="2" t="n">
        <v>5</v>
      </c>
      <c r="AM27" s="5" t="n">
        <f aca="false">SUM(AG27:AL27)</f>
        <v>63</v>
      </c>
      <c r="AN27" s="5" t="str">
        <f aca="false">IF(AM27&gt;=80,"A",IF(AM27&gt;=60,"B","C"))</f>
        <v>B</v>
      </c>
      <c r="AO27" s="4"/>
      <c r="AP27" s="4" t="s">
        <v>330</v>
      </c>
      <c r="AQ27" s="2" t="s">
        <v>66</v>
      </c>
    </row>
    <row r="28" customFormat="false" ht="74.6" hidden="false" customHeight="false" outlineLevel="0" collapsed="false">
      <c r="A28" s="2" t="s">
        <v>331</v>
      </c>
      <c r="B28" s="2" t="s">
        <v>332</v>
      </c>
      <c r="C28" s="2"/>
      <c r="D28" s="2" t="s">
        <v>45</v>
      </c>
      <c r="E28" s="2" t="s">
        <v>333</v>
      </c>
      <c r="F28" s="2" t="s">
        <v>334</v>
      </c>
      <c r="G28" s="3" t="s">
        <v>47</v>
      </c>
      <c r="H28" s="2" t="n">
        <v>26.0804614080928</v>
      </c>
      <c r="I28" s="2" t="n">
        <v>49.9985894546895</v>
      </c>
      <c r="J28" s="2" t="s">
        <v>104</v>
      </c>
      <c r="K28" s="2" t="s">
        <v>49</v>
      </c>
      <c r="L28" s="2" t="s">
        <v>50</v>
      </c>
      <c r="M28" s="2"/>
      <c r="N28" s="2"/>
      <c r="O28" s="4"/>
      <c r="P28" s="4" t="s">
        <v>335</v>
      </c>
      <c r="Q28" s="2"/>
      <c r="R28" s="2"/>
      <c r="S28" s="2" t="s">
        <v>336</v>
      </c>
      <c r="T28" s="2"/>
      <c r="U28" s="2"/>
      <c r="V28" s="2"/>
      <c r="W28" s="2"/>
      <c r="X28" s="2"/>
      <c r="Y28" s="2"/>
      <c r="Z28" s="2"/>
      <c r="AA28" s="2"/>
      <c r="AB28" s="2"/>
      <c r="AC28" s="2" t="s">
        <v>77</v>
      </c>
      <c r="AD28" s="2"/>
      <c r="AE28" s="2" t="s">
        <v>207</v>
      </c>
      <c r="AF28" s="2" t="s">
        <v>241</v>
      </c>
      <c r="AG28" s="2" t="n">
        <v>0</v>
      </c>
      <c r="AH28" s="2" t="n">
        <v>8</v>
      </c>
      <c r="AI28" s="2" t="n">
        <v>20</v>
      </c>
      <c r="AJ28" s="2" t="n">
        <v>5</v>
      </c>
      <c r="AK28" s="2" t="n">
        <v>0</v>
      </c>
      <c r="AL28" s="2" t="n">
        <v>5</v>
      </c>
      <c r="AM28" s="5" t="n">
        <f aca="false">SUM(AG28:AL28)</f>
        <v>38</v>
      </c>
      <c r="AN28" s="5" t="str">
        <f aca="false">IF(AM28&gt;=80,"A",IF(AM28&gt;=60,"B","C"))</f>
        <v>C</v>
      </c>
      <c r="AO28" s="4"/>
      <c r="AP28" s="4" t="s">
        <v>337</v>
      </c>
      <c r="AQ28" s="2" t="s">
        <v>66</v>
      </c>
    </row>
    <row r="29" customFormat="false" ht="74.6" hidden="false" customHeight="false" outlineLevel="0" collapsed="false">
      <c r="A29" s="2" t="s">
        <v>338</v>
      </c>
      <c r="B29" s="2" t="s">
        <v>339</v>
      </c>
      <c r="C29" s="2"/>
      <c r="D29" s="2" t="s">
        <v>45</v>
      </c>
      <c r="E29" s="2" t="s">
        <v>340</v>
      </c>
      <c r="F29" s="2" t="s">
        <v>341</v>
      </c>
      <c r="G29" s="3" t="s">
        <v>47</v>
      </c>
      <c r="H29" s="2" t="n">
        <v>26.3259542176712</v>
      </c>
      <c r="I29" s="2" t="n">
        <v>50.1973161403656</v>
      </c>
      <c r="J29" s="2" t="s">
        <v>119</v>
      </c>
      <c r="K29" s="2" t="s">
        <v>49</v>
      </c>
      <c r="L29" s="2" t="s">
        <v>50</v>
      </c>
      <c r="M29" s="2"/>
      <c r="N29" s="2"/>
      <c r="O29" s="4"/>
      <c r="P29" s="4" t="s">
        <v>342</v>
      </c>
      <c r="Q29" s="2"/>
      <c r="R29" s="2"/>
      <c r="S29" s="2" t="s">
        <v>343</v>
      </c>
      <c r="T29" s="2"/>
      <c r="U29" s="2"/>
      <c r="V29" s="2"/>
      <c r="W29" s="2"/>
      <c r="X29" s="2"/>
      <c r="Y29" s="2"/>
      <c r="Z29" s="2"/>
      <c r="AA29" s="2"/>
      <c r="AB29" s="2"/>
      <c r="AC29" s="2" t="s">
        <v>77</v>
      </c>
      <c r="AD29" s="2"/>
      <c r="AE29" s="2" t="s">
        <v>207</v>
      </c>
      <c r="AF29" s="2" t="s">
        <v>241</v>
      </c>
      <c r="AG29" s="2" t="n">
        <v>0</v>
      </c>
      <c r="AH29" s="2" t="n">
        <v>8</v>
      </c>
      <c r="AI29" s="2" t="n">
        <v>20</v>
      </c>
      <c r="AJ29" s="2" t="n">
        <v>5</v>
      </c>
      <c r="AK29" s="2" t="n">
        <v>0</v>
      </c>
      <c r="AL29" s="2" t="n">
        <v>5</v>
      </c>
      <c r="AM29" s="5" t="n">
        <f aca="false">SUM(AG29:AL29)</f>
        <v>38</v>
      </c>
      <c r="AN29" s="5" t="str">
        <f aca="false">IF(AM29&gt;=80,"A",IF(AM29&gt;=60,"B","C"))</f>
        <v>C</v>
      </c>
      <c r="AO29" s="4"/>
      <c r="AP29" s="4" t="s">
        <v>344</v>
      </c>
      <c r="AQ29" s="2" t="s">
        <v>66</v>
      </c>
    </row>
    <row r="30" customFormat="false" ht="64.15" hidden="false" customHeight="false" outlineLevel="0" collapsed="false">
      <c r="A30" s="2" t="s">
        <v>345</v>
      </c>
      <c r="B30" s="2" t="s">
        <v>346</v>
      </c>
      <c r="C30" s="2"/>
      <c r="D30" s="2" t="s">
        <v>347</v>
      </c>
      <c r="E30" s="2" t="s">
        <v>348</v>
      </c>
      <c r="F30" s="2" t="s">
        <v>349</v>
      </c>
      <c r="G30" s="3" t="s">
        <v>47</v>
      </c>
      <c r="H30" s="2" t="n">
        <v>26.3425215752543</v>
      </c>
      <c r="I30" s="2" t="n">
        <v>50.151466459465</v>
      </c>
      <c r="J30" s="2" t="s">
        <v>119</v>
      </c>
      <c r="K30" s="2" t="s">
        <v>49</v>
      </c>
      <c r="L30" s="2" t="s">
        <v>50</v>
      </c>
      <c r="M30" s="2"/>
      <c r="N30" s="2"/>
      <c r="O30" s="4"/>
      <c r="P30" s="4" t="s">
        <v>350</v>
      </c>
      <c r="Q30" s="2"/>
      <c r="R30" s="2"/>
      <c r="S30" s="2" t="s">
        <v>351</v>
      </c>
      <c r="T30" s="2"/>
      <c r="U30" s="2"/>
      <c r="V30" s="2"/>
      <c r="W30" s="2"/>
      <c r="X30" s="2"/>
      <c r="Y30" s="2"/>
      <c r="Z30" s="2"/>
      <c r="AA30" s="2"/>
      <c r="AB30" s="2"/>
      <c r="AC30" s="2" t="s">
        <v>77</v>
      </c>
      <c r="AD30" s="2"/>
      <c r="AE30" s="2" t="s">
        <v>207</v>
      </c>
      <c r="AF30" s="2" t="s">
        <v>241</v>
      </c>
      <c r="AG30" s="2" t="n">
        <v>0</v>
      </c>
      <c r="AH30" s="2" t="n">
        <v>8</v>
      </c>
      <c r="AI30" s="2" t="n">
        <v>20</v>
      </c>
      <c r="AJ30" s="2" t="n">
        <v>5</v>
      </c>
      <c r="AK30" s="2" t="n">
        <v>0</v>
      </c>
      <c r="AL30" s="2" t="n">
        <v>5</v>
      </c>
      <c r="AM30" s="5" t="n">
        <f aca="false">SUM(AG30:AL30)</f>
        <v>38</v>
      </c>
      <c r="AN30" s="5" t="str">
        <f aca="false">IF(AM30&gt;=80,"A",IF(AM30&gt;=60,"B","C"))</f>
        <v>C</v>
      </c>
      <c r="AO30" s="4"/>
      <c r="AP30" s="4" t="s">
        <v>352</v>
      </c>
      <c r="AQ30" s="2" t="s">
        <v>66</v>
      </c>
    </row>
    <row r="31" customFormat="false" ht="74.6" hidden="false" customHeight="false" outlineLevel="0" collapsed="false">
      <c r="A31" s="2" t="s">
        <v>353</v>
      </c>
      <c r="B31" s="2" t="s">
        <v>354</v>
      </c>
      <c r="C31" s="2"/>
      <c r="D31" s="2" t="s">
        <v>45</v>
      </c>
      <c r="E31" s="2" t="s">
        <v>355</v>
      </c>
      <c r="F31" s="2" t="s">
        <v>356</v>
      </c>
      <c r="G31" s="3" t="s">
        <v>47</v>
      </c>
      <c r="H31" s="2" t="n">
        <v>26.1950499609729</v>
      </c>
      <c r="I31" s="2" t="n">
        <v>50.2156519889832</v>
      </c>
      <c r="J31" s="2" t="s">
        <v>357</v>
      </c>
      <c r="K31" s="2" t="s">
        <v>49</v>
      </c>
      <c r="L31" s="2" t="s">
        <v>50</v>
      </c>
      <c r="M31" s="2"/>
      <c r="N31" s="2"/>
      <c r="O31" s="4"/>
      <c r="P31" s="4" t="s">
        <v>358</v>
      </c>
      <c r="Q31" s="2"/>
      <c r="R31" s="2"/>
      <c r="S31" s="2" t="s">
        <v>359</v>
      </c>
      <c r="T31" s="2"/>
      <c r="U31" s="2"/>
      <c r="V31" s="2"/>
      <c r="W31" s="2"/>
      <c r="X31" s="2"/>
      <c r="Y31" s="2"/>
      <c r="Z31" s="2"/>
      <c r="AA31" s="2"/>
      <c r="AB31" s="2"/>
      <c r="AC31" s="2" t="s">
        <v>77</v>
      </c>
      <c r="AD31" s="2"/>
      <c r="AE31" s="2" t="s">
        <v>207</v>
      </c>
      <c r="AF31" s="2" t="s">
        <v>241</v>
      </c>
      <c r="AG31" s="2" t="n">
        <v>0</v>
      </c>
      <c r="AH31" s="2" t="n">
        <v>8</v>
      </c>
      <c r="AI31" s="2" t="n">
        <v>20</v>
      </c>
      <c r="AJ31" s="2" t="n">
        <v>5</v>
      </c>
      <c r="AK31" s="2" t="n">
        <v>0</v>
      </c>
      <c r="AL31" s="2" t="n">
        <v>5</v>
      </c>
      <c r="AM31" s="5" t="n">
        <f aca="false">SUM(AG31:AL31)</f>
        <v>38</v>
      </c>
      <c r="AN31" s="5" t="str">
        <f aca="false">IF(AM31&gt;=80,"A",IF(AM31&gt;=60,"B","C"))</f>
        <v>C</v>
      </c>
      <c r="AO31" s="4"/>
      <c r="AP31" s="4" t="s">
        <v>360</v>
      </c>
      <c r="AQ31" s="2" t="s">
        <v>66</v>
      </c>
    </row>
    <row r="32" customFormat="false" ht="43.25" hidden="false" customHeight="false" outlineLevel="0" collapsed="false">
      <c r="A32" s="2" t="s">
        <v>361</v>
      </c>
      <c r="B32" s="2" t="s">
        <v>362</v>
      </c>
      <c r="C32" s="2"/>
      <c r="D32" s="2" t="s">
        <v>347</v>
      </c>
      <c r="E32" s="2" t="s">
        <v>363</v>
      </c>
      <c r="F32" s="2" t="s">
        <v>364</v>
      </c>
      <c r="G32" s="3" t="s">
        <v>47</v>
      </c>
      <c r="H32" s="2" t="n">
        <v>26.3204687027865</v>
      </c>
      <c r="I32" s="2" t="n">
        <v>50.1551672373533</v>
      </c>
      <c r="J32" s="2" t="s">
        <v>119</v>
      </c>
      <c r="K32" s="2" t="s">
        <v>49</v>
      </c>
      <c r="L32" s="2" t="s">
        <v>50</v>
      </c>
      <c r="M32" s="2"/>
      <c r="N32" s="2"/>
      <c r="O32" s="4"/>
      <c r="P32" s="4" t="s">
        <v>365</v>
      </c>
      <c r="Q32" s="2"/>
      <c r="R32" s="2"/>
      <c r="S32" s="2" t="s">
        <v>366</v>
      </c>
      <c r="T32" s="2"/>
      <c r="U32" s="2"/>
      <c r="V32" s="2"/>
      <c r="W32" s="2"/>
      <c r="X32" s="2"/>
      <c r="Y32" s="2"/>
      <c r="Z32" s="2"/>
      <c r="AA32" s="2"/>
      <c r="AB32" s="2"/>
      <c r="AC32" s="2" t="s">
        <v>77</v>
      </c>
      <c r="AD32" s="2"/>
      <c r="AE32" s="2" t="s">
        <v>207</v>
      </c>
      <c r="AF32" s="2" t="s">
        <v>241</v>
      </c>
      <c r="AG32" s="2" t="n">
        <v>0</v>
      </c>
      <c r="AH32" s="2" t="n">
        <v>8</v>
      </c>
      <c r="AI32" s="2" t="n">
        <v>20</v>
      </c>
      <c r="AJ32" s="2" t="n">
        <v>5</v>
      </c>
      <c r="AK32" s="2" t="n">
        <v>0</v>
      </c>
      <c r="AL32" s="2" t="n">
        <v>5</v>
      </c>
      <c r="AM32" s="5" t="n">
        <f aca="false">SUM(AG32:AL32)</f>
        <v>38</v>
      </c>
      <c r="AN32" s="5" t="str">
        <f aca="false">IF(AM32&gt;=80,"A",IF(AM32&gt;=60,"B","C"))</f>
        <v>C</v>
      </c>
      <c r="AO32" s="4"/>
      <c r="AP32" s="4" t="s">
        <v>367</v>
      </c>
      <c r="AQ32" s="2" t="s">
        <v>66</v>
      </c>
    </row>
    <row r="33" customFormat="false" ht="22.35" hidden="false" customHeight="false" outlineLevel="0" collapsed="false">
      <c r="A33" s="2" t="s">
        <v>368</v>
      </c>
      <c r="B33" s="2" t="s">
        <v>369</v>
      </c>
      <c r="C33" s="2"/>
      <c r="D33" s="2" t="s">
        <v>45</v>
      </c>
      <c r="E33" s="2"/>
      <c r="F33" s="2" t="s">
        <v>45</v>
      </c>
      <c r="G33" s="3" t="s">
        <v>47</v>
      </c>
      <c r="H33" s="2" t="n">
        <v>26.2958773914876</v>
      </c>
      <c r="I33" s="2" t="n">
        <v>50.1100158691406</v>
      </c>
      <c r="J33" s="2" t="s">
        <v>119</v>
      </c>
      <c r="K33" s="2" t="s">
        <v>49</v>
      </c>
      <c r="L33" s="2" t="s">
        <v>50</v>
      </c>
      <c r="M33" s="2"/>
      <c r="N33" s="2"/>
      <c r="O33" s="4"/>
      <c r="P33" s="4" t="s">
        <v>370</v>
      </c>
      <c r="Q33" s="2"/>
      <c r="R33" s="2"/>
      <c r="S33" s="2" t="s">
        <v>371</v>
      </c>
      <c r="T33" s="2"/>
      <c r="U33" s="2"/>
      <c r="V33" s="2"/>
      <c r="W33" s="2"/>
      <c r="X33" s="2"/>
      <c r="Y33" s="2"/>
      <c r="Z33" s="2"/>
      <c r="AA33" s="2"/>
      <c r="AB33" s="2"/>
      <c r="AC33" s="2" t="s">
        <v>77</v>
      </c>
      <c r="AD33" s="2"/>
      <c r="AE33" s="2" t="s">
        <v>207</v>
      </c>
      <c r="AF33" s="2" t="s">
        <v>241</v>
      </c>
      <c r="AG33" s="2" t="n">
        <v>0</v>
      </c>
      <c r="AH33" s="2" t="n">
        <v>8</v>
      </c>
      <c r="AI33" s="2" t="n">
        <v>20</v>
      </c>
      <c r="AJ33" s="2" t="n">
        <v>5</v>
      </c>
      <c r="AK33" s="2" t="n">
        <v>0</v>
      </c>
      <c r="AL33" s="2" t="n">
        <v>5</v>
      </c>
      <c r="AM33" s="5" t="n">
        <f aca="false">SUM(AG33:AL33)</f>
        <v>38</v>
      </c>
      <c r="AN33" s="5" t="str">
        <f aca="false">IF(AM33&gt;=80,"A",IF(AM33&gt;=60,"B","C"))</f>
        <v>C</v>
      </c>
      <c r="AO33" s="4" t="s">
        <v>372</v>
      </c>
      <c r="AP33" s="4" t="s">
        <v>373</v>
      </c>
      <c r="AQ33" s="2" t="s">
        <v>66</v>
      </c>
    </row>
    <row r="34" customFormat="false" ht="74.6" hidden="false" customHeight="false" outlineLevel="0" collapsed="false">
      <c r="A34" s="2" t="s">
        <v>374</v>
      </c>
      <c r="B34" s="2" t="s">
        <v>375</v>
      </c>
      <c r="C34" s="2"/>
      <c r="D34" s="2" t="s">
        <v>45</v>
      </c>
      <c r="E34" s="2"/>
      <c r="F34" s="2" t="s">
        <v>46</v>
      </c>
      <c r="G34" s="3" t="s">
        <v>47</v>
      </c>
      <c r="H34" s="2" t="n">
        <v>26.291029516782</v>
      </c>
      <c r="I34" s="2" t="n">
        <v>50.2119827270508</v>
      </c>
      <c r="J34" s="2" t="s">
        <v>48</v>
      </c>
      <c r="K34" s="2" t="s">
        <v>49</v>
      </c>
      <c r="L34" s="2" t="s">
        <v>50</v>
      </c>
      <c r="M34" s="2"/>
      <c r="N34" s="2" t="n">
        <v>100</v>
      </c>
      <c r="O34" s="4" t="s">
        <v>376</v>
      </c>
      <c r="P34" s="4" t="s">
        <v>377</v>
      </c>
      <c r="Q34" s="2"/>
      <c r="R34" s="2"/>
      <c r="S34" s="2"/>
      <c r="T34" s="2"/>
      <c r="U34" s="2"/>
      <c r="V34" s="2"/>
      <c r="W34" s="2"/>
      <c r="X34" s="2"/>
      <c r="Y34" s="2"/>
      <c r="Z34" s="2" t="s">
        <v>378</v>
      </c>
      <c r="AA34" s="2"/>
      <c r="AB34" s="2"/>
      <c r="AC34" s="2" t="s">
        <v>61</v>
      </c>
      <c r="AD34" s="3" t="s">
        <v>379</v>
      </c>
      <c r="AE34" s="2" t="s">
        <v>153</v>
      </c>
      <c r="AF34" s="2" t="s">
        <v>241</v>
      </c>
      <c r="AG34" s="2" t="n">
        <v>15</v>
      </c>
      <c r="AH34" s="2" t="n">
        <v>8</v>
      </c>
      <c r="AI34" s="2" t="n">
        <v>20</v>
      </c>
      <c r="AJ34" s="2" t="n">
        <v>0</v>
      </c>
      <c r="AK34" s="2" t="n">
        <v>10</v>
      </c>
      <c r="AL34" s="2" t="n">
        <v>5</v>
      </c>
      <c r="AM34" s="5" t="n">
        <f aca="false">SUM(AG34:AL34)</f>
        <v>58</v>
      </c>
      <c r="AN34" s="5" t="str">
        <f aca="false">IF(AM34&gt;=80,"A",IF(AM34&gt;=60,"B","C"))</f>
        <v>C</v>
      </c>
      <c r="AO34" s="4"/>
      <c r="AP34" s="4" t="s">
        <v>380</v>
      </c>
      <c r="AQ34" s="2" t="s">
        <v>66</v>
      </c>
    </row>
    <row r="35" customFormat="false" ht="64.15" hidden="false" customHeight="false" outlineLevel="0" collapsed="false">
      <c r="A35" s="2" t="s">
        <v>381</v>
      </c>
      <c r="B35" s="2" t="s">
        <v>382</v>
      </c>
      <c r="C35" s="2"/>
      <c r="D35" s="2" t="s">
        <v>45</v>
      </c>
      <c r="E35" s="2" t="s">
        <v>167</v>
      </c>
      <c r="F35" s="2" t="s">
        <v>46</v>
      </c>
      <c r="G35" s="2"/>
      <c r="H35" s="2"/>
      <c r="I35" s="2"/>
      <c r="J35" s="2" t="s">
        <v>48</v>
      </c>
      <c r="K35" s="2" t="s">
        <v>49</v>
      </c>
      <c r="L35" s="2" t="s">
        <v>50</v>
      </c>
      <c r="M35" s="2"/>
      <c r="N35" s="2" t="n">
        <v>32</v>
      </c>
      <c r="O35" s="4"/>
      <c r="P35" s="4" t="s">
        <v>383</v>
      </c>
      <c r="Q35" s="2"/>
      <c r="R35" s="2"/>
      <c r="S35" s="2"/>
      <c r="T35" s="2"/>
      <c r="U35" s="2"/>
      <c r="V35" s="2"/>
      <c r="W35" s="2"/>
      <c r="X35" s="2"/>
      <c r="Y35" s="2"/>
      <c r="Z35" s="2"/>
      <c r="AA35" s="2"/>
      <c r="AB35" s="2" t="s">
        <v>384</v>
      </c>
      <c r="AC35" s="2" t="s">
        <v>61</v>
      </c>
      <c r="AD35" s="3" t="s">
        <v>385</v>
      </c>
      <c r="AE35" s="2" t="s">
        <v>153</v>
      </c>
      <c r="AF35" s="2" t="s">
        <v>241</v>
      </c>
      <c r="AG35" s="2" t="n">
        <v>5</v>
      </c>
      <c r="AH35" s="2" t="n">
        <v>8</v>
      </c>
      <c r="AI35" s="2" t="n">
        <v>20</v>
      </c>
      <c r="AJ35" s="2" t="n">
        <v>0</v>
      </c>
      <c r="AK35" s="2" t="n">
        <v>10</v>
      </c>
      <c r="AL35" s="2" t="n">
        <v>5</v>
      </c>
      <c r="AM35" s="5" t="n">
        <f aca="false">SUM(AG35:AL35)</f>
        <v>48</v>
      </c>
      <c r="AN35" s="5" t="str">
        <f aca="false">IF(AM35&gt;=80,"A",IF(AM35&gt;=60,"B","C"))</f>
        <v>C</v>
      </c>
      <c r="AO35" s="4"/>
      <c r="AP35" s="4" t="s">
        <v>385</v>
      </c>
      <c r="AQ35" s="2" t="s">
        <v>66</v>
      </c>
    </row>
    <row r="36" customFormat="false" ht="64.15" hidden="false" customHeight="false" outlineLevel="0" collapsed="false">
      <c r="A36" s="2" t="s">
        <v>386</v>
      </c>
      <c r="B36" s="2" t="s">
        <v>387</v>
      </c>
      <c r="C36" s="2"/>
      <c r="D36" s="2" t="s">
        <v>45</v>
      </c>
      <c r="E36" s="2"/>
      <c r="F36" s="2" t="s">
        <v>46</v>
      </c>
      <c r="G36" s="3" t="s">
        <v>47</v>
      </c>
      <c r="H36" s="2" t="n">
        <v>26.3674176627256</v>
      </c>
      <c r="I36" s="2" t="n">
        <v>50.2035713195801</v>
      </c>
      <c r="J36" s="2" t="s">
        <v>104</v>
      </c>
      <c r="K36" s="2" t="s">
        <v>49</v>
      </c>
      <c r="L36" s="2" t="s">
        <v>50</v>
      </c>
      <c r="M36" s="2"/>
      <c r="N36" s="2"/>
      <c r="O36" s="4"/>
      <c r="P36" s="4" t="s">
        <v>388</v>
      </c>
      <c r="Q36" s="2"/>
      <c r="R36" s="2"/>
      <c r="S36" s="2"/>
      <c r="T36" s="2"/>
      <c r="U36" s="2"/>
      <c r="V36" s="2"/>
      <c r="W36" s="2"/>
      <c r="X36" s="2"/>
      <c r="Y36" s="2"/>
      <c r="Z36" s="2"/>
      <c r="AA36" s="2"/>
      <c r="AB36" s="2" t="s">
        <v>384</v>
      </c>
      <c r="AC36" s="2" t="s">
        <v>61</v>
      </c>
      <c r="AD36" s="3" t="s">
        <v>389</v>
      </c>
      <c r="AE36" s="2" t="s">
        <v>153</v>
      </c>
      <c r="AF36" s="2" t="s">
        <v>241</v>
      </c>
      <c r="AG36" s="2" t="n">
        <v>0</v>
      </c>
      <c r="AH36" s="2" t="n">
        <v>8</v>
      </c>
      <c r="AI36" s="2" t="n">
        <v>20</v>
      </c>
      <c r="AJ36" s="2" t="n">
        <v>0</v>
      </c>
      <c r="AK36" s="2" t="n">
        <v>10</v>
      </c>
      <c r="AL36" s="2" t="n">
        <v>5</v>
      </c>
      <c r="AM36" s="5" t="n">
        <f aca="false">SUM(AG36:AL36)</f>
        <v>43</v>
      </c>
      <c r="AN36" s="5" t="str">
        <f aca="false">IF(AM36&gt;=80,"A",IF(AM36&gt;=60,"B","C"))</f>
        <v>C</v>
      </c>
      <c r="AO36" s="4"/>
      <c r="AP36" s="4" t="s">
        <v>389</v>
      </c>
      <c r="AQ36" s="2" t="s">
        <v>66</v>
      </c>
    </row>
    <row r="37" customFormat="false" ht="64.15" hidden="false" customHeight="false" outlineLevel="0" collapsed="false">
      <c r="A37" s="2" t="s">
        <v>390</v>
      </c>
      <c r="B37" s="2" t="s">
        <v>391</v>
      </c>
      <c r="C37" s="2"/>
      <c r="D37" s="2" t="s">
        <v>45</v>
      </c>
      <c r="E37" s="2"/>
      <c r="F37" s="2" t="s">
        <v>46</v>
      </c>
      <c r="G37" s="3" t="s">
        <v>47</v>
      </c>
      <c r="H37" s="2" t="n">
        <v>26.3670331558513</v>
      </c>
      <c r="I37" s="2" t="n">
        <v>50.2042579650879</v>
      </c>
      <c r="J37" s="2" t="s">
        <v>277</v>
      </c>
      <c r="K37" s="2" t="s">
        <v>49</v>
      </c>
      <c r="L37" s="2" t="s">
        <v>50</v>
      </c>
      <c r="M37" s="2"/>
      <c r="N37" s="2" t="n">
        <v>40</v>
      </c>
      <c r="O37" s="4" t="s">
        <v>392</v>
      </c>
      <c r="P37" s="4" t="s">
        <v>388</v>
      </c>
      <c r="Q37" s="2"/>
      <c r="R37" s="2"/>
      <c r="S37" s="2"/>
      <c r="T37" s="2"/>
      <c r="U37" s="2"/>
      <c r="V37" s="2"/>
      <c r="W37" s="2"/>
      <c r="X37" s="2"/>
      <c r="Y37" s="2"/>
      <c r="Z37" s="2"/>
      <c r="AA37" s="2"/>
      <c r="AB37" s="2" t="s">
        <v>384</v>
      </c>
      <c r="AC37" s="2" t="s">
        <v>61</v>
      </c>
      <c r="AD37" s="3" t="s">
        <v>393</v>
      </c>
      <c r="AE37" s="2" t="s">
        <v>153</v>
      </c>
      <c r="AF37" s="2" t="s">
        <v>241</v>
      </c>
      <c r="AG37" s="2" t="n">
        <v>5</v>
      </c>
      <c r="AH37" s="2" t="n">
        <v>8</v>
      </c>
      <c r="AI37" s="2" t="n">
        <v>20</v>
      </c>
      <c r="AJ37" s="2" t="n">
        <v>0</v>
      </c>
      <c r="AK37" s="2" t="n">
        <v>10</v>
      </c>
      <c r="AL37" s="2" t="n">
        <v>5</v>
      </c>
      <c r="AM37" s="5" t="n">
        <f aca="false">SUM(AG37:AL37)</f>
        <v>48</v>
      </c>
      <c r="AN37" s="5" t="str">
        <f aca="false">IF(AM37&gt;=80,"A",IF(AM37&gt;=60,"B","C"))</f>
        <v>C</v>
      </c>
      <c r="AO37" s="4"/>
      <c r="AP37" s="4" t="s">
        <v>393</v>
      </c>
      <c r="AQ37" s="2" t="s">
        <v>66</v>
      </c>
    </row>
    <row r="38" customFormat="false" ht="43.25" hidden="false" customHeight="false" outlineLevel="0" collapsed="false">
      <c r="A38" s="2" t="s">
        <v>394</v>
      </c>
      <c r="B38" s="2" t="s">
        <v>395</v>
      </c>
      <c r="C38" s="2"/>
      <c r="D38" s="2" t="s">
        <v>45</v>
      </c>
      <c r="E38" s="2"/>
      <c r="F38" s="2" t="s">
        <v>46</v>
      </c>
      <c r="G38" s="3" t="s">
        <v>47</v>
      </c>
      <c r="H38" s="2" t="n">
        <v>26.3678790692863</v>
      </c>
      <c r="I38" s="2" t="n">
        <v>50.20751953125</v>
      </c>
      <c r="J38" s="2" t="s">
        <v>48</v>
      </c>
      <c r="K38" s="2" t="s">
        <v>49</v>
      </c>
      <c r="L38" s="2" t="s">
        <v>50</v>
      </c>
      <c r="M38" s="2"/>
      <c r="N38" s="2" t="n">
        <v>30</v>
      </c>
      <c r="O38" s="4"/>
      <c r="P38" s="4" t="s">
        <v>396</v>
      </c>
      <c r="Q38" s="2"/>
      <c r="R38" s="2"/>
      <c r="S38" s="2"/>
      <c r="T38" s="2"/>
      <c r="U38" s="2"/>
      <c r="V38" s="2"/>
      <c r="W38" s="2"/>
      <c r="X38" s="2"/>
      <c r="Y38" s="2"/>
      <c r="Z38" s="2"/>
      <c r="AA38" s="2"/>
      <c r="AB38" s="2"/>
      <c r="AC38" s="2" t="s">
        <v>77</v>
      </c>
      <c r="AD38" s="2"/>
      <c r="AE38" s="2" t="s">
        <v>153</v>
      </c>
      <c r="AF38" s="2" t="s">
        <v>241</v>
      </c>
      <c r="AG38" s="2" t="n">
        <v>5</v>
      </c>
      <c r="AH38" s="2" t="n">
        <v>8</v>
      </c>
      <c r="AI38" s="2" t="n">
        <v>20</v>
      </c>
      <c r="AJ38" s="2" t="n">
        <v>0</v>
      </c>
      <c r="AK38" s="2" t="n">
        <v>0</v>
      </c>
      <c r="AL38" s="2" t="n">
        <v>5</v>
      </c>
      <c r="AM38" s="5" t="n">
        <f aca="false">SUM(AG38:AL38)</f>
        <v>38</v>
      </c>
      <c r="AN38" s="5" t="str">
        <f aca="false">IF(AM38&gt;=80,"A",IF(AM38&gt;=60,"B","C"))</f>
        <v>C</v>
      </c>
      <c r="AO38" s="4" t="s">
        <v>397</v>
      </c>
      <c r="AP38" s="4" t="s">
        <v>398</v>
      </c>
      <c r="AQ38" s="2" t="s">
        <v>66</v>
      </c>
    </row>
    <row r="39" customFormat="false" ht="22.35" hidden="false" customHeight="false" outlineLevel="0" collapsed="false">
      <c r="A39" s="2" t="s">
        <v>399</v>
      </c>
      <c r="B39" s="2" t="s">
        <v>400</v>
      </c>
      <c r="C39" s="2"/>
      <c r="D39" s="2" t="s">
        <v>45</v>
      </c>
      <c r="E39" s="2"/>
      <c r="F39" s="2" t="s">
        <v>46</v>
      </c>
      <c r="G39" s="3" t="s">
        <v>47</v>
      </c>
      <c r="H39" s="2" t="n">
        <v>26.3368069152998</v>
      </c>
      <c r="I39" s="2" t="n">
        <v>50.2154159545898</v>
      </c>
      <c r="J39" s="2" t="s">
        <v>119</v>
      </c>
      <c r="K39" s="2" t="s">
        <v>49</v>
      </c>
      <c r="L39" s="2" t="s">
        <v>50</v>
      </c>
      <c r="M39" s="2"/>
      <c r="N39" s="2"/>
      <c r="O39" s="4"/>
      <c r="P39" s="4" t="s">
        <v>401</v>
      </c>
      <c r="Q39" s="2"/>
      <c r="R39" s="2"/>
      <c r="S39" s="2"/>
      <c r="T39" s="2"/>
      <c r="U39" s="2"/>
      <c r="V39" s="2"/>
      <c r="W39" s="2"/>
      <c r="X39" s="2"/>
      <c r="Y39" s="2"/>
      <c r="Z39" s="2" t="s">
        <v>402</v>
      </c>
      <c r="AA39" s="2"/>
      <c r="AB39" s="2"/>
      <c r="AC39" s="2" t="s">
        <v>61</v>
      </c>
      <c r="AD39" s="3" t="s">
        <v>403</v>
      </c>
      <c r="AE39" s="2" t="s">
        <v>153</v>
      </c>
      <c r="AF39" s="2" t="s">
        <v>241</v>
      </c>
      <c r="AG39" s="2" t="n">
        <v>0</v>
      </c>
      <c r="AH39" s="2" t="n">
        <v>8</v>
      </c>
      <c r="AI39" s="2" t="n">
        <v>20</v>
      </c>
      <c r="AJ39" s="2" t="n">
        <v>0</v>
      </c>
      <c r="AK39" s="2" t="n">
        <v>10</v>
      </c>
      <c r="AL39" s="2" t="n">
        <v>5</v>
      </c>
      <c r="AM39" s="5" t="n">
        <f aca="false">SUM(AG39:AL39)</f>
        <v>43</v>
      </c>
      <c r="AN39" s="5" t="str">
        <f aca="false">IF(AM39&gt;=80,"A",IF(AM39&gt;=60,"B","C"))</f>
        <v>C</v>
      </c>
      <c r="AO39" s="4" t="s">
        <v>404</v>
      </c>
      <c r="AP39" s="4" t="s">
        <v>403</v>
      </c>
      <c r="AQ39" s="2" t="s">
        <v>66</v>
      </c>
    </row>
    <row r="40" customFormat="false" ht="43.25" hidden="false" customHeight="false" outlineLevel="0" collapsed="false">
      <c r="A40" s="2" t="s">
        <v>405</v>
      </c>
      <c r="B40" s="2" t="s">
        <v>406</v>
      </c>
      <c r="C40" s="2"/>
      <c r="D40" s="2" t="s">
        <v>45</v>
      </c>
      <c r="E40" s="2"/>
      <c r="F40" s="2" t="s">
        <v>45</v>
      </c>
      <c r="G40" s="3" t="s">
        <v>47</v>
      </c>
      <c r="H40" s="2" t="n">
        <v>26.3626049931815</v>
      </c>
      <c r="I40" s="2" t="n">
        <v>50.2043113414764</v>
      </c>
      <c r="J40" s="2" t="s">
        <v>119</v>
      </c>
      <c r="K40" s="2" t="s">
        <v>49</v>
      </c>
      <c r="L40" s="2" t="s">
        <v>50</v>
      </c>
      <c r="M40" s="2"/>
      <c r="N40" s="2"/>
      <c r="O40" s="4" t="s">
        <v>407</v>
      </c>
      <c r="P40" s="4" t="s">
        <v>408</v>
      </c>
      <c r="Q40" s="2"/>
      <c r="R40" s="2"/>
      <c r="S40" s="2"/>
      <c r="T40" s="2"/>
      <c r="U40" s="2"/>
      <c r="V40" s="2"/>
      <c r="W40" s="2"/>
      <c r="X40" s="2"/>
      <c r="Y40" s="2"/>
      <c r="Z40" s="2"/>
      <c r="AA40" s="2"/>
      <c r="AB40" s="2" t="s">
        <v>409</v>
      </c>
      <c r="AC40" s="2" t="s">
        <v>152</v>
      </c>
      <c r="AD40" s="3" t="s">
        <v>410</v>
      </c>
      <c r="AE40" s="2" t="s">
        <v>153</v>
      </c>
      <c r="AF40" s="2" t="s">
        <v>154</v>
      </c>
      <c r="AG40" s="2" t="n">
        <v>0</v>
      </c>
      <c r="AH40" s="2" t="n">
        <v>8</v>
      </c>
      <c r="AI40" s="2" t="n">
        <v>20</v>
      </c>
      <c r="AJ40" s="2" t="n">
        <v>0</v>
      </c>
      <c r="AK40" s="2" t="n">
        <v>10</v>
      </c>
      <c r="AL40" s="2" t="n">
        <v>5</v>
      </c>
      <c r="AM40" s="5" t="n">
        <f aca="false">SUM(AG40:AL40)</f>
        <v>43</v>
      </c>
      <c r="AN40" s="5" t="str">
        <f aca="false">IF(AM40&gt;=80,"A",IF(AM40&gt;=60,"B","C"))</f>
        <v>C</v>
      </c>
      <c r="AO40" s="4"/>
      <c r="AP40" s="4" t="s">
        <v>410</v>
      </c>
      <c r="AQ40" s="2" t="s">
        <v>66</v>
      </c>
    </row>
    <row r="41" customFormat="false" ht="64.15" hidden="false" customHeight="false" outlineLevel="0" collapsed="false">
      <c r="A41" s="2" t="s">
        <v>411</v>
      </c>
      <c r="B41" s="2" t="s">
        <v>412</v>
      </c>
      <c r="C41" s="2"/>
      <c r="D41" s="2" t="s">
        <v>45</v>
      </c>
      <c r="E41" s="2" t="s">
        <v>413</v>
      </c>
      <c r="F41" s="2" t="s">
        <v>414</v>
      </c>
      <c r="G41" s="3" t="s">
        <v>47</v>
      </c>
      <c r="H41" s="2" t="n">
        <v>26.3236751791609</v>
      </c>
      <c r="I41" s="2" t="n">
        <v>50.1946446601868</v>
      </c>
      <c r="J41" s="2" t="s">
        <v>357</v>
      </c>
      <c r="K41" s="2" t="s">
        <v>49</v>
      </c>
      <c r="L41" s="2" t="s">
        <v>50</v>
      </c>
      <c r="M41" s="2"/>
      <c r="N41" s="2"/>
      <c r="O41" s="4"/>
      <c r="P41" s="4" t="s">
        <v>415</v>
      </c>
      <c r="Q41" s="2"/>
      <c r="R41" s="2"/>
      <c r="S41" s="2"/>
      <c r="T41" s="2"/>
      <c r="U41" s="2"/>
      <c r="V41" s="2"/>
      <c r="W41" s="2"/>
      <c r="X41" s="2"/>
      <c r="Y41" s="2"/>
      <c r="Z41" s="2"/>
      <c r="AA41" s="2"/>
      <c r="AB41" s="2" t="s">
        <v>409</v>
      </c>
      <c r="AC41" s="2" t="s">
        <v>152</v>
      </c>
      <c r="AD41" s="3" t="s">
        <v>416</v>
      </c>
      <c r="AE41" s="2" t="s">
        <v>153</v>
      </c>
      <c r="AF41" s="2" t="s">
        <v>154</v>
      </c>
      <c r="AG41" s="2" t="n">
        <v>0</v>
      </c>
      <c r="AH41" s="2" t="n">
        <v>8</v>
      </c>
      <c r="AI41" s="2" t="n">
        <v>20</v>
      </c>
      <c r="AJ41" s="2" t="n">
        <v>0</v>
      </c>
      <c r="AK41" s="2" t="n">
        <v>10</v>
      </c>
      <c r="AL41" s="2" t="n">
        <v>5</v>
      </c>
      <c r="AM41" s="5" t="n">
        <f aca="false">SUM(AG41:AL41)</f>
        <v>43</v>
      </c>
      <c r="AN41" s="5" t="str">
        <f aca="false">IF(AM41&gt;=80,"A",IF(AM41&gt;=60,"B","C"))</f>
        <v>C</v>
      </c>
      <c r="AO41" s="4"/>
      <c r="AP41" s="4" t="s">
        <v>416</v>
      </c>
      <c r="AQ41" s="2" t="s">
        <v>66</v>
      </c>
    </row>
    <row r="42" customFormat="false" ht="74.6" hidden="false" customHeight="false" outlineLevel="0" collapsed="false">
      <c r="A42" s="2" t="s">
        <v>417</v>
      </c>
      <c r="B42" s="2" t="s">
        <v>418</v>
      </c>
      <c r="C42" s="2"/>
      <c r="D42" s="2" t="s">
        <v>45</v>
      </c>
      <c r="E42" s="2"/>
      <c r="F42" s="2" t="s">
        <v>419</v>
      </c>
      <c r="G42" s="3" t="s">
        <v>47</v>
      </c>
      <c r="H42" s="2" t="n">
        <v>26.3178634211571</v>
      </c>
      <c r="I42" s="2" t="n">
        <v>50.2125406265259</v>
      </c>
      <c r="J42" s="2" t="s">
        <v>48</v>
      </c>
      <c r="K42" s="2" t="s">
        <v>49</v>
      </c>
      <c r="L42" s="2" t="s">
        <v>50</v>
      </c>
      <c r="M42" s="2"/>
      <c r="N42" s="2" t="n">
        <v>69</v>
      </c>
      <c r="O42" s="4"/>
      <c r="P42" s="4" t="s">
        <v>420</v>
      </c>
      <c r="Q42" s="2"/>
      <c r="R42" s="2"/>
      <c r="S42" s="2"/>
      <c r="T42" s="2"/>
      <c r="U42" s="2"/>
      <c r="V42" s="2"/>
      <c r="W42" s="2"/>
      <c r="X42" s="2"/>
      <c r="Y42" s="2"/>
      <c r="Z42" s="2"/>
      <c r="AA42" s="2"/>
      <c r="AB42" s="2" t="s">
        <v>421</v>
      </c>
      <c r="AC42" s="2" t="s">
        <v>152</v>
      </c>
      <c r="AD42" s="3" t="s">
        <v>422</v>
      </c>
      <c r="AE42" s="2" t="s">
        <v>153</v>
      </c>
      <c r="AF42" s="2" t="s">
        <v>154</v>
      </c>
      <c r="AG42" s="2" t="n">
        <v>10</v>
      </c>
      <c r="AH42" s="2" t="n">
        <v>8</v>
      </c>
      <c r="AI42" s="2" t="n">
        <v>20</v>
      </c>
      <c r="AJ42" s="2" t="n">
        <v>0</v>
      </c>
      <c r="AK42" s="2" t="n">
        <v>10</v>
      </c>
      <c r="AL42" s="2" t="n">
        <v>5</v>
      </c>
      <c r="AM42" s="5" t="n">
        <f aca="false">SUM(AG42:AL42)</f>
        <v>53</v>
      </c>
      <c r="AN42" s="5" t="str">
        <f aca="false">IF(AM42&gt;=80,"A",IF(AM42&gt;=60,"B","C"))</f>
        <v>C</v>
      </c>
      <c r="AO42" s="4"/>
      <c r="AP42" s="4" t="s">
        <v>423</v>
      </c>
      <c r="AQ42" s="2" t="s">
        <v>66</v>
      </c>
    </row>
    <row r="43" customFormat="false" ht="64.15" hidden="false" customHeight="false" outlineLevel="0" collapsed="false">
      <c r="A43" s="2" t="s">
        <v>424</v>
      </c>
      <c r="B43" s="2" t="s">
        <v>425</v>
      </c>
      <c r="C43" s="2"/>
      <c r="D43" s="2" t="s">
        <v>45</v>
      </c>
      <c r="E43" s="2" t="s">
        <v>222</v>
      </c>
      <c r="F43" s="2" t="s">
        <v>426</v>
      </c>
      <c r="G43" s="3" t="s">
        <v>47</v>
      </c>
      <c r="H43" s="2" t="n">
        <v>26.1927972335535</v>
      </c>
      <c r="I43" s="2" t="n">
        <v>50.1874351501465</v>
      </c>
      <c r="J43" s="2" t="s">
        <v>119</v>
      </c>
      <c r="K43" s="2" t="s">
        <v>49</v>
      </c>
      <c r="L43" s="2" t="s">
        <v>50</v>
      </c>
      <c r="M43" s="2"/>
      <c r="N43" s="2"/>
      <c r="O43" s="4"/>
      <c r="P43" s="4" t="s">
        <v>427</v>
      </c>
      <c r="Q43" s="2"/>
      <c r="R43" s="2"/>
      <c r="S43" s="2"/>
      <c r="T43" s="2"/>
      <c r="U43" s="2"/>
      <c r="V43" s="2"/>
      <c r="W43" s="2"/>
      <c r="X43" s="2"/>
      <c r="Y43" s="2"/>
      <c r="Z43" s="2" t="s">
        <v>428</v>
      </c>
      <c r="AA43" s="2"/>
      <c r="AB43" s="2" t="s">
        <v>428</v>
      </c>
      <c r="AC43" s="2" t="s">
        <v>61</v>
      </c>
      <c r="AD43" s="3" t="s">
        <v>429</v>
      </c>
      <c r="AE43" s="2" t="s">
        <v>153</v>
      </c>
      <c r="AF43" s="2" t="s">
        <v>241</v>
      </c>
      <c r="AG43" s="2" t="n">
        <v>0</v>
      </c>
      <c r="AH43" s="2" t="n">
        <v>8</v>
      </c>
      <c r="AI43" s="2" t="n">
        <v>20</v>
      </c>
      <c r="AJ43" s="2" t="n">
        <v>0</v>
      </c>
      <c r="AK43" s="2" t="n">
        <v>10</v>
      </c>
      <c r="AL43" s="2" t="n">
        <v>5</v>
      </c>
      <c r="AM43" s="5" t="n">
        <f aca="false">SUM(AG43:AL43)</f>
        <v>43</v>
      </c>
      <c r="AN43" s="5" t="str">
        <f aca="false">IF(AM43&gt;=80,"A",IF(AM43&gt;=60,"B","C"))</f>
        <v>C</v>
      </c>
      <c r="AO43" s="4"/>
      <c r="AP43" s="4" t="s">
        <v>430</v>
      </c>
      <c r="AQ43" s="2" t="s">
        <v>66</v>
      </c>
    </row>
    <row r="44" customFormat="false" ht="32.8" hidden="false" customHeight="false" outlineLevel="0" collapsed="false">
      <c r="A44" s="2" t="s">
        <v>431</v>
      </c>
      <c r="B44" s="2" t="s">
        <v>432</v>
      </c>
      <c r="C44" s="2"/>
      <c r="D44" s="2" t="s">
        <v>45</v>
      </c>
      <c r="E44" s="2" t="s">
        <v>433</v>
      </c>
      <c r="F44" s="2"/>
      <c r="G44" s="2"/>
      <c r="H44" s="2"/>
      <c r="I44" s="2"/>
      <c r="J44" s="2" t="s">
        <v>119</v>
      </c>
      <c r="K44" s="2" t="s">
        <v>49</v>
      </c>
      <c r="L44" s="2" t="s">
        <v>77</v>
      </c>
      <c r="M44" s="2"/>
      <c r="N44" s="2"/>
      <c r="O44" s="4"/>
      <c r="P44" s="4"/>
      <c r="Q44" s="2"/>
      <c r="R44" s="2"/>
      <c r="S44" s="2"/>
      <c r="T44" s="2"/>
      <c r="U44" s="2"/>
      <c r="V44" s="2"/>
      <c r="W44" s="2"/>
      <c r="X44" s="2"/>
      <c r="Y44" s="2"/>
      <c r="Z44" s="2" t="s">
        <v>428</v>
      </c>
      <c r="AA44" s="2"/>
      <c r="AB44" s="2"/>
      <c r="AC44" s="2" t="s">
        <v>61</v>
      </c>
      <c r="AD44" s="3" t="s">
        <v>429</v>
      </c>
      <c r="AE44" s="2" t="s">
        <v>153</v>
      </c>
      <c r="AF44" s="2" t="s">
        <v>241</v>
      </c>
      <c r="AG44" s="2" t="n">
        <v>0</v>
      </c>
      <c r="AH44" s="2" t="n">
        <v>8</v>
      </c>
      <c r="AI44" s="2" t="n">
        <v>14</v>
      </c>
      <c r="AJ44" s="2" t="n">
        <v>0</v>
      </c>
      <c r="AK44" s="2" t="n">
        <v>10</v>
      </c>
      <c r="AL44" s="2" t="n">
        <v>0</v>
      </c>
      <c r="AM44" s="5" t="n">
        <f aca="false">SUM(AG44:AL44)</f>
        <v>32</v>
      </c>
      <c r="AN44" s="5" t="str">
        <f aca="false">IF(AM44&gt;=80,"A",IF(AM44&gt;=60,"B","C"))</f>
        <v>C</v>
      </c>
      <c r="AO44" s="4"/>
      <c r="AP44" s="4" t="s">
        <v>434</v>
      </c>
      <c r="AQ44" s="2" t="s">
        <v>66</v>
      </c>
    </row>
    <row r="45" customFormat="false" ht="53.7" hidden="false" customHeight="false" outlineLevel="0" collapsed="false">
      <c r="A45" s="2" t="s">
        <v>435</v>
      </c>
      <c r="B45" s="2" t="s">
        <v>436</v>
      </c>
      <c r="C45" s="2"/>
      <c r="D45" s="2" t="s">
        <v>45</v>
      </c>
      <c r="E45" s="2" t="s">
        <v>437</v>
      </c>
      <c r="F45" s="2" t="s">
        <v>46</v>
      </c>
      <c r="G45" s="3" t="s">
        <v>47</v>
      </c>
      <c r="H45" s="2" t="n">
        <v>26.3663410402545</v>
      </c>
      <c r="I45" s="2" t="n">
        <v>50.1920700073242</v>
      </c>
      <c r="J45" s="2" t="s">
        <v>119</v>
      </c>
      <c r="K45" s="2" t="s">
        <v>49</v>
      </c>
      <c r="L45" s="2" t="s">
        <v>50</v>
      </c>
      <c r="M45" s="2"/>
      <c r="N45" s="2"/>
      <c r="O45" s="4"/>
      <c r="P45" s="4" t="s">
        <v>438</v>
      </c>
      <c r="Q45" s="2"/>
      <c r="R45" s="2"/>
      <c r="S45" s="2"/>
      <c r="T45" s="2"/>
      <c r="U45" s="2"/>
      <c r="V45" s="2"/>
      <c r="W45" s="2"/>
      <c r="X45" s="2"/>
      <c r="Y45" s="2"/>
      <c r="Z45" s="2" t="s">
        <v>439</v>
      </c>
      <c r="AA45" s="2"/>
      <c r="AB45" s="2"/>
      <c r="AC45" s="2" t="s">
        <v>61</v>
      </c>
      <c r="AD45" s="3" t="s">
        <v>440</v>
      </c>
      <c r="AE45" s="2" t="s">
        <v>153</v>
      </c>
      <c r="AF45" s="2" t="s">
        <v>241</v>
      </c>
      <c r="AG45" s="2" t="n">
        <v>0</v>
      </c>
      <c r="AH45" s="2" t="n">
        <v>8</v>
      </c>
      <c r="AI45" s="2" t="n">
        <v>20</v>
      </c>
      <c r="AJ45" s="2" t="n">
        <v>0</v>
      </c>
      <c r="AK45" s="2" t="n">
        <v>10</v>
      </c>
      <c r="AL45" s="2" t="n">
        <v>5</v>
      </c>
      <c r="AM45" s="5" t="n">
        <f aca="false">SUM(AG45:AL45)</f>
        <v>43</v>
      </c>
      <c r="AN45" s="5" t="str">
        <f aca="false">IF(AM45&gt;=80,"A",IF(AM45&gt;=60,"B","C"))</f>
        <v>C</v>
      </c>
      <c r="AO45" s="4"/>
      <c r="AP45" s="4" t="s">
        <v>440</v>
      </c>
      <c r="AQ45" s="2" t="s">
        <v>66</v>
      </c>
    </row>
    <row r="46" customFormat="false" ht="74.6" hidden="false" customHeight="false" outlineLevel="0" collapsed="false">
      <c r="A46" s="2" t="s">
        <v>441</v>
      </c>
      <c r="B46" s="2" t="s">
        <v>442</v>
      </c>
      <c r="C46" s="2"/>
      <c r="D46" s="2" t="s">
        <v>45</v>
      </c>
      <c r="E46" s="2" t="s">
        <v>443</v>
      </c>
      <c r="F46" s="2" t="s">
        <v>444</v>
      </c>
      <c r="G46" s="3" t="s">
        <v>47</v>
      </c>
      <c r="H46" s="2" t="n">
        <v>26.2915898221829</v>
      </c>
      <c r="I46" s="2" t="n">
        <v>50.1777309179306</v>
      </c>
      <c r="J46" s="2" t="s">
        <v>277</v>
      </c>
      <c r="K46" s="2" t="s">
        <v>49</v>
      </c>
      <c r="L46" s="2" t="s">
        <v>50</v>
      </c>
      <c r="M46" s="2"/>
      <c r="N46" s="2"/>
      <c r="O46" s="4"/>
      <c r="P46" s="4" t="s">
        <v>445</v>
      </c>
      <c r="Q46" s="2"/>
      <c r="R46" s="2"/>
      <c r="S46" s="2"/>
      <c r="T46" s="2"/>
      <c r="U46" s="2"/>
      <c r="V46" s="2"/>
      <c r="W46" s="2"/>
      <c r="X46" s="2"/>
      <c r="Y46" s="2"/>
      <c r="Z46" s="2"/>
      <c r="AA46" s="2" t="s">
        <v>446</v>
      </c>
      <c r="AB46" s="2"/>
      <c r="AC46" s="2" t="s">
        <v>143</v>
      </c>
      <c r="AD46" s="3" t="s">
        <v>447</v>
      </c>
      <c r="AE46" s="2" t="s">
        <v>153</v>
      </c>
      <c r="AF46" s="2" t="s">
        <v>154</v>
      </c>
      <c r="AG46" s="2" t="n">
        <v>0</v>
      </c>
      <c r="AH46" s="2" t="n">
        <v>8</v>
      </c>
      <c r="AI46" s="2" t="n">
        <v>20</v>
      </c>
      <c r="AJ46" s="2" t="n">
        <v>0</v>
      </c>
      <c r="AK46" s="2" t="n">
        <v>10</v>
      </c>
      <c r="AL46" s="2" t="n">
        <v>5</v>
      </c>
      <c r="AM46" s="5" t="n">
        <f aca="false">SUM(AG46:AL46)</f>
        <v>43</v>
      </c>
      <c r="AN46" s="5" t="str">
        <f aca="false">IF(AM46&gt;=80,"A",IF(AM46&gt;=60,"B","C"))</f>
        <v>C</v>
      </c>
      <c r="AO46" s="4"/>
      <c r="AP46" s="4" t="s">
        <v>448</v>
      </c>
      <c r="AQ46" s="2" t="s">
        <v>66</v>
      </c>
    </row>
    <row r="47" customFormat="false" ht="53.7" hidden="false" customHeight="false" outlineLevel="0" collapsed="false">
      <c r="A47" s="2" t="s">
        <v>449</v>
      </c>
      <c r="B47" s="2" t="s">
        <v>450</v>
      </c>
      <c r="C47" s="2"/>
      <c r="D47" s="2" t="s">
        <v>45</v>
      </c>
      <c r="E47" s="2" t="s">
        <v>451</v>
      </c>
      <c r="F47" s="2" t="s">
        <v>452</v>
      </c>
      <c r="G47" s="3" t="s">
        <v>47</v>
      </c>
      <c r="H47" s="2" t="n">
        <v>26.2932674156755</v>
      </c>
      <c r="I47" s="2" t="n">
        <v>50.1809358224273</v>
      </c>
      <c r="J47" s="2" t="s">
        <v>277</v>
      </c>
      <c r="K47" s="2" t="s">
        <v>49</v>
      </c>
      <c r="L47" s="2" t="s">
        <v>50</v>
      </c>
      <c r="M47" s="2"/>
      <c r="N47" s="2"/>
      <c r="O47" s="4" t="s">
        <v>392</v>
      </c>
      <c r="P47" s="4" t="s">
        <v>453</v>
      </c>
      <c r="Q47" s="2"/>
      <c r="R47" s="2"/>
      <c r="S47" s="2"/>
      <c r="T47" s="2"/>
      <c r="U47" s="2"/>
      <c r="V47" s="2"/>
      <c r="W47" s="2"/>
      <c r="X47" s="2"/>
      <c r="Y47" s="2"/>
      <c r="Z47" s="2"/>
      <c r="AA47" s="2"/>
      <c r="AB47" s="2"/>
      <c r="AC47" s="2" t="s">
        <v>77</v>
      </c>
      <c r="AD47" s="2"/>
      <c r="AE47" s="2" t="s">
        <v>153</v>
      </c>
      <c r="AF47" s="2" t="s">
        <v>241</v>
      </c>
      <c r="AG47" s="2" t="n">
        <v>0</v>
      </c>
      <c r="AH47" s="2" t="n">
        <v>8</v>
      </c>
      <c r="AI47" s="2" t="n">
        <v>20</v>
      </c>
      <c r="AJ47" s="2" t="n">
        <v>0</v>
      </c>
      <c r="AK47" s="2" t="n">
        <v>0</v>
      </c>
      <c r="AL47" s="2" t="n">
        <v>5</v>
      </c>
      <c r="AM47" s="5" t="n">
        <f aca="false">SUM(AG47:AL47)</f>
        <v>33</v>
      </c>
      <c r="AN47" s="5" t="str">
        <f aca="false">IF(AM47&gt;=80,"A",IF(AM47&gt;=60,"B","C"))</f>
        <v>C</v>
      </c>
      <c r="AO47" s="4"/>
      <c r="AP47" s="4" t="s">
        <v>454</v>
      </c>
      <c r="AQ47" s="2" t="s">
        <v>66</v>
      </c>
    </row>
    <row r="48" customFormat="false" ht="85.05" hidden="false" customHeight="false" outlineLevel="0" collapsed="false">
      <c r="A48" s="2" t="s">
        <v>455</v>
      </c>
      <c r="B48" s="2" t="s">
        <v>456</v>
      </c>
      <c r="C48" s="2"/>
      <c r="D48" s="2" t="s">
        <v>45</v>
      </c>
      <c r="E48" s="2" t="s">
        <v>457</v>
      </c>
      <c r="F48" s="2" t="s">
        <v>458</v>
      </c>
      <c r="G48" s="3" t="s">
        <v>47</v>
      </c>
      <c r="H48" s="2" t="n">
        <v>26.3286947742013</v>
      </c>
      <c r="I48" s="2" t="n">
        <v>50.1976058189392</v>
      </c>
      <c r="J48" s="2" t="s">
        <v>104</v>
      </c>
      <c r="K48" s="2" t="s">
        <v>49</v>
      </c>
      <c r="L48" s="2" t="s">
        <v>50</v>
      </c>
      <c r="M48" s="2"/>
      <c r="N48" s="2"/>
      <c r="O48" s="4"/>
      <c r="P48" s="4" t="s">
        <v>459</v>
      </c>
      <c r="Q48" s="3" t="s">
        <v>460</v>
      </c>
      <c r="R48" s="2" t="s">
        <v>461</v>
      </c>
      <c r="S48" s="2"/>
      <c r="T48" s="2"/>
      <c r="U48" s="2" t="s">
        <v>462</v>
      </c>
      <c r="V48" s="2"/>
      <c r="W48" s="2"/>
      <c r="X48" s="2"/>
      <c r="Y48" s="2"/>
      <c r="Z48" s="2"/>
      <c r="AA48" s="2"/>
      <c r="AB48" s="2"/>
      <c r="AC48" s="2" t="s">
        <v>77</v>
      </c>
      <c r="AD48" s="2"/>
      <c r="AE48" s="2" t="s">
        <v>207</v>
      </c>
      <c r="AF48" s="2" t="s">
        <v>97</v>
      </c>
      <c r="AG48" s="2" t="n">
        <v>0</v>
      </c>
      <c r="AH48" s="2" t="n">
        <v>8</v>
      </c>
      <c r="AI48" s="2" t="n">
        <v>12</v>
      </c>
      <c r="AJ48" s="2" t="n">
        <v>5</v>
      </c>
      <c r="AK48" s="2" t="n">
        <v>0</v>
      </c>
      <c r="AL48" s="2" t="n">
        <v>5</v>
      </c>
      <c r="AM48" s="5" t="n">
        <f aca="false">SUM(AG48:AL48)</f>
        <v>30</v>
      </c>
      <c r="AN48" s="5" t="str">
        <f aca="false">IF(AM48&gt;=80,"A",IF(AM48&gt;=60,"B","C"))</f>
        <v>C</v>
      </c>
      <c r="AO48" s="4" t="s">
        <v>463</v>
      </c>
      <c r="AP48" s="4" t="s">
        <v>464</v>
      </c>
      <c r="AQ48" s="2" t="s">
        <v>66</v>
      </c>
    </row>
    <row r="49" customFormat="false" ht="74.6" hidden="false" customHeight="false" outlineLevel="0" collapsed="false">
      <c r="A49" s="2" t="s">
        <v>465</v>
      </c>
      <c r="B49" s="2" t="s">
        <v>466</v>
      </c>
      <c r="C49" s="2"/>
      <c r="D49" s="2" t="s">
        <v>45</v>
      </c>
      <c r="E49" s="2" t="s">
        <v>467</v>
      </c>
      <c r="F49" s="2" t="s">
        <v>468</v>
      </c>
      <c r="G49" s="3" t="s">
        <v>47</v>
      </c>
      <c r="H49" s="2" t="n">
        <v>26.32161051633</v>
      </c>
      <c r="I49" s="2" t="n">
        <v>50.1928495610164</v>
      </c>
      <c r="J49" s="2" t="s">
        <v>104</v>
      </c>
      <c r="K49" s="2" t="s">
        <v>49</v>
      </c>
      <c r="L49" s="2" t="s">
        <v>50</v>
      </c>
      <c r="M49" s="2"/>
      <c r="N49" s="2"/>
      <c r="O49" s="4"/>
      <c r="P49" s="4" t="s">
        <v>469</v>
      </c>
      <c r="Q49" s="3" t="s">
        <v>470</v>
      </c>
      <c r="R49" s="2" t="s">
        <v>471</v>
      </c>
      <c r="S49" s="2"/>
      <c r="T49" s="2"/>
      <c r="U49" s="2" t="s">
        <v>472</v>
      </c>
      <c r="V49" s="2"/>
      <c r="W49" s="2"/>
      <c r="X49" s="2"/>
      <c r="Y49" s="2"/>
      <c r="Z49" s="2"/>
      <c r="AA49" s="2"/>
      <c r="AB49" s="2"/>
      <c r="AC49" s="2" t="s">
        <v>77</v>
      </c>
      <c r="AD49" s="2"/>
      <c r="AE49" s="2" t="s">
        <v>207</v>
      </c>
      <c r="AF49" s="2" t="s">
        <v>97</v>
      </c>
      <c r="AG49" s="2" t="n">
        <v>0</v>
      </c>
      <c r="AH49" s="2" t="n">
        <v>8</v>
      </c>
      <c r="AI49" s="2" t="n">
        <v>12</v>
      </c>
      <c r="AJ49" s="2" t="n">
        <v>5</v>
      </c>
      <c r="AK49" s="2" t="n">
        <v>0</v>
      </c>
      <c r="AL49" s="2" t="n">
        <v>5</v>
      </c>
      <c r="AM49" s="5" t="n">
        <f aca="false">SUM(AG49:AL49)</f>
        <v>30</v>
      </c>
      <c r="AN49" s="5" t="str">
        <f aca="false">IF(AM49&gt;=80,"A",IF(AM49&gt;=60,"B","C"))</f>
        <v>C</v>
      </c>
      <c r="AO49" s="4" t="s">
        <v>473</v>
      </c>
      <c r="AP49" s="4" t="s">
        <v>474</v>
      </c>
      <c r="AQ49" s="2" t="s">
        <v>66</v>
      </c>
    </row>
    <row r="50" customFormat="false" ht="32.8" hidden="false" customHeight="false" outlineLevel="0" collapsed="false">
      <c r="A50" s="2" t="s">
        <v>475</v>
      </c>
      <c r="B50" s="2" t="s">
        <v>476</v>
      </c>
      <c r="C50" s="2"/>
      <c r="D50" s="2" t="s">
        <v>45</v>
      </c>
      <c r="E50" s="2"/>
      <c r="F50" s="2"/>
      <c r="G50" s="2"/>
      <c r="H50" s="2"/>
      <c r="I50" s="2"/>
      <c r="J50" s="2" t="s">
        <v>357</v>
      </c>
      <c r="K50" s="2" t="s">
        <v>49</v>
      </c>
      <c r="L50" s="2" t="s">
        <v>77</v>
      </c>
      <c r="M50" s="2"/>
      <c r="N50" s="2"/>
      <c r="O50" s="4"/>
      <c r="P50" s="4"/>
      <c r="Q50" s="2"/>
      <c r="R50" s="2"/>
      <c r="S50" s="2"/>
      <c r="T50" s="2"/>
      <c r="U50" s="2"/>
      <c r="V50" s="2"/>
      <c r="W50" s="2"/>
      <c r="X50" s="2"/>
      <c r="Y50" s="2"/>
      <c r="Z50" s="2"/>
      <c r="AA50" s="2"/>
      <c r="AB50" s="2"/>
      <c r="AC50" s="2" t="s">
        <v>77</v>
      </c>
      <c r="AD50" s="2"/>
      <c r="AE50" s="2" t="s">
        <v>153</v>
      </c>
      <c r="AF50" s="2" t="s">
        <v>241</v>
      </c>
      <c r="AG50" s="2" t="n">
        <v>0</v>
      </c>
      <c r="AH50" s="2" t="n">
        <v>8</v>
      </c>
      <c r="AI50" s="2" t="n">
        <v>14</v>
      </c>
      <c r="AJ50" s="2" t="n">
        <v>0</v>
      </c>
      <c r="AK50" s="2" t="n">
        <v>0</v>
      </c>
      <c r="AL50" s="2" t="n">
        <v>0</v>
      </c>
      <c r="AM50" s="5" t="n">
        <f aca="false">SUM(AG50:AL50)</f>
        <v>22</v>
      </c>
      <c r="AN50" s="5" t="str">
        <f aca="false">IF(AM50&gt;=80,"A",IF(AM50&gt;=60,"B","C"))</f>
        <v>C</v>
      </c>
      <c r="AO50" s="4" t="s">
        <v>477</v>
      </c>
      <c r="AP50" s="4" t="s">
        <v>478</v>
      </c>
      <c r="AQ50" s="2" t="s">
        <v>66</v>
      </c>
    </row>
    <row r="51" customFormat="false" ht="64.15" hidden="false" customHeight="false" outlineLevel="0" collapsed="false">
      <c r="A51" s="2" t="s">
        <v>479</v>
      </c>
      <c r="B51" s="2" t="s">
        <v>480</v>
      </c>
      <c r="C51" s="2"/>
      <c r="D51" s="2" t="s">
        <v>45</v>
      </c>
      <c r="E51" s="2"/>
      <c r="F51" s="2" t="s">
        <v>481</v>
      </c>
      <c r="G51" s="3" t="s">
        <v>47</v>
      </c>
      <c r="H51" s="2" t="n">
        <v>26.3371626771608</v>
      </c>
      <c r="I51" s="2" t="n">
        <v>50.2101159095764</v>
      </c>
      <c r="J51" s="2" t="s">
        <v>48</v>
      </c>
      <c r="K51" s="2" t="s">
        <v>49</v>
      </c>
      <c r="L51" s="2" t="s">
        <v>50</v>
      </c>
      <c r="M51" s="2"/>
      <c r="N51" s="2" t="n">
        <v>232</v>
      </c>
      <c r="O51" s="4" t="s">
        <v>482</v>
      </c>
      <c r="P51" s="4" t="s">
        <v>483</v>
      </c>
      <c r="Q51" s="2"/>
      <c r="R51" s="2"/>
      <c r="S51" s="2"/>
      <c r="T51" s="2"/>
      <c r="U51" s="2"/>
      <c r="V51" s="2"/>
      <c r="W51" s="2"/>
      <c r="X51" s="2"/>
      <c r="Y51" s="2"/>
      <c r="Z51" s="2"/>
      <c r="AA51" s="2"/>
      <c r="AB51" s="2"/>
      <c r="AC51" s="2" t="s">
        <v>77</v>
      </c>
      <c r="AD51" s="2"/>
      <c r="AE51" s="2" t="s">
        <v>153</v>
      </c>
      <c r="AF51" s="2" t="s">
        <v>241</v>
      </c>
      <c r="AG51" s="2" t="n">
        <v>20</v>
      </c>
      <c r="AH51" s="2" t="n">
        <v>8</v>
      </c>
      <c r="AI51" s="2" t="n">
        <v>20</v>
      </c>
      <c r="AJ51" s="2" t="n">
        <v>0</v>
      </c>
      <c r="AK51" s="2" t="n">
        <v>0</v>
      </c>
      <c r="AL51" s="2" t="n">
        <v>5</v>
      </c>
      <c r="AM51" s="5" t="n">
        <f aca="false">SUM(AG51:AL51)</f>
        <v>53</v>
      </c>
      <c r="AN51" s="5" t="str">
        <f aca="false">IF(AM51&gt;=80,"A",IF(AM51&gt;=60,"B","C"))</f>
        <v>C</v>
      </c>
      <c r="AO51" s="4" t="s">
        <v>484</v>
      </c>
      <c r="AP51" s="4" t="s">
        <v>485</v>
      </c>
      <c r="AQ51" s="2" t="s">
        <v>66</v>
      </c>
    </row>
    <row r="52" customFormat="false" ht="74.6" hidden="false" customHeight="false" outlineLevel="0" collapsed="false">
      <c r="A52" s="2" t="s">
        <v>486</v>
      </c>
      <c r="B52" s="2" t="s">
        <v>487</v>
      </c>
      <c r="C52" s="2"/>
      <c r="D52" s="2" t="s">
        <v>45</v>
      </c>
      <c r="E52" s="2" t="s">
        <v>488</v>
      </c>
      <c r="F52" s="2" t="s">
        <v>488</v>
      </c>
      <c r="G52" s="3" t="s">
        <v>47</v>
      </c>
      <c r="H52" s="2" t="n">
        <v>26.3505462207333</v>
      </c>
      <c r="I52" s="2" t="n">
        <v>50.1983088254929</v>
      </c>
      <c r="J52" s="2" t="s">
        <v>277</v>
      </c>
      <c r="K52" s="2" t="s">
        <v>49</v>
      </c>
      <c r="L52" s="2" t="s">
        <v>50</v>
      </c>
      <c r="M52" s="2"/>
      <c r="N52" s="2" t="n">
        <v>175</v>
      </c>
      <c r="O52" s="4" t="s">
        <v>489</v>
      </c>
      <c r="P52" s="4" t="s">
        <v>490</v>
      </c>
      <c r="Q52" s="2"/>
      <c r="R52" s="2"/>
      <c r="S52" s="2"/>
      <c r="T52" s="2"/>
      <c r="U52" s="2"/>
      <c r="V52" s="2"/>
      <c r="W52" s="2"/>
      <c r="X52" s="2"/>
      <c r="Y52" s="2"/>
      <c r="Z52" s="2"/>
      <c r="AA52" s="2"/>
      <c r="AB52" s="2"/>
      <c r="AC52" s="2" t="s">
        <v>77</v>
      </c>
      <c r="AD52" s="2"/>
      <c r="AE52" s="2" t="s">
        <v>153</v>
      </c>
      <c r="AF52" s="2" t="s">
        <v>241</v>
      </c>
      <c r="AG52" s="2" t="n">
        <v>15</v>
      </c>
      <c r="AH52" s="2" t="n">
        <v>8</v>
      </c>
      <c r="AI52" s="2" t="n">
        <v>20</v>
      </c>
      <c r="AJ52" s="2" t="n">
        <v>0</v>
      </c>
      <c r="AK52" s="2" t="n">
        <v>0</v>
      </c>
      <c r="AL52" s="2" t="n">
        <v>5</v>
      </c>
      <c r="AM52" s="5" t="n">
        <f aca="false">SUM(AG52:AL52)</f>
        <v>48</v>
      </c>
      <c r="AN52" s="5" t="str">
        <f aca="false">IF(AM52&gt;=80,"A",IF(AM52&gt;=60,"B","C"))</f>
        <v>C</v>
      </c>
      <c r="AO52" s="4" t="s">
        <v>491</v>
      </c>
      <c r="AP52" s="4" t="s">
        <v>492</v>
      </c>
      <c r="AQ52" s="2" t="s">
        <v>66</v>
      </c>
    </row>
    <row r="53" customFormat="false" ht="74.6" hidden="false" customHeight="false" outlineLevel="0" collapsed="false">
      <c r="A53" s="2" t="s">
        <v>493</v>
      </c>
      <c r="B53" s="2" t="s">
        <v>494</v>
      </c>
      <c r="C53" s="2"/>
      <c r="D53" s="2" t="s">
        <v>45</v>
      </c>
      <c r="E53" s="2" t="s">
        <v>167</v>
      </c>
      <c r="F53" s="2" t="s">
        <v>495</v>
      </c>
      <c r="G53" s="3" t="s">
        <v>47</v>
      </c>
      <c r="H53" s="2" t="n">
        <v>26.3309496747023</v>
      </c>
      <c r="I53" s="2" t="n">
        <v>50.1892641489029</v>
      </c>
      <c r="J53" s="2" t="s">
        <v>277</v>
      </c>
      <c r="K53" s="2" t="s">
        <v>49</v>
      </c>
      <c r="L53" s="2" t="s">
        <v>50</v>
      </c>
      <c r="M53" s="2"/>
      <c r="N53" s="2"/>
      <c r="O53" s="4"/>
      <c r="P53" s="4" t="s">
        <v>496</v>
      </c>
      <c r="Q53" s="2"/>
      <c r="R53" s="2"/>
      <c r="S53" s="2"/>
      <c r="T53" s="2"/>
      <c r="U53" s="2"/>
      <c r="V53" s="2"/>
      <c r="W53" s="2"/>
      <c r="X53" s="2"/>
      <c r="Y53" s="2"/>
      <c r="Z53" s="2"/>
      <c r="AA53" s="2"/>
      <c r="AB53" s="2"/>
      <c r="AC53" s="2" t="s">
        <v>77</v>
      </c>
      <c r="AD53" s="2"/>
      <c r="AE53" s="2" t="s">
        <v>153</v>
      </c>
      <c r="AF53" s="2" t="s">
        <v>241</v>
      </c>
      <c r="AG53" s="2" t="n">
        <v>0</v>
      </c>
      <c r="AH53" s="2" t="n">
        <v>8</v>
      </c>
      <c r="AI53" s="2" t="n">
        <v>20</v>
      </c>
      <c r="AJ53" s="2" t="n">
        <v>0</v>
      </c>
      <c r="AK53" s="2" t="n">
        <v>0</v>
      </c>
      <c r="AL53" s="2" t="n">
        <v>5</v>
      </c>
      <c r="AM53" s="5" t="n">
        <f aca="false">SUM(AG53:AL53)</f>
        <v>33</v>
      </c>
      <c r="AN53" s="5" t="str">
        <f aca="false">IF(AM53&gt;=80,"A",IF(AM53&gt;=60,"B","C"))</f>
        <v>C</v>
      </c>
      <c r="AO53" s="4"/>
      <c r="AP53" s="4" t="s">
        <v>497</v>
      </c>
      <c r="AQ53" s="2" t="s">
        <v>66</v>
      </c>
    </row>
    <row r="54" customFormat="false" ht="74.6" hidden="false" customHeight="false" outlineLevel="0" collapsed="false">
      <c r="A54" s="2" t="s">
        <v>498</v>
      </c>
      <c r="B54" s="2" t="s">
        <v>499</v>
      </c>
      <c r="C54" s="2"/>
      <c r="D54" s="2" t="s">
        <v>45</v>
      </c>
      <c r="E54" s="2" t="s">
        <v>500</v>
      </c>
      <c r="F54" s="2" t="s">
        <v>501</v>
      </c>
      <c r="G54" s="3" t="s">
        <v>47</v>
      </c>
      <c r="H54" s="2" t="n">
        <v>26.3463640296653</v>
      </c>
      <c r="I54" s="2" t="n">
        <v>50.189516544342</v>
      </c>
      <c r="J54" s="2" t="s">
        <v>119</v>
      </c>
      <c r="K54" s="2" t="s">
        <v>49</v>
      </c>
      <c r="L54" s="2" t="s">
        <v>50</v>
      </c>
      <c r="M54" s="2"/>
      <c r="N54" s="2" t="n">
        <v>233</v>
      </c>
      <c r="O54" s="4"/>
      <c r="P54" s="4" t="s">
        <v>502</v>
      </c>
      <c r="Q54" s="2"/>
      <c r="R54" s="2"/>
      <c r="S54" s="2"/>
      <c r="T54" s="2"/>
      <c r="U54" s="2"/>
      <c r="V54" s="2"/>
      <c r="W54" s="2"/>
      <c r="X54" s="2"/>
      <c r="Y54" s="2"/>
      <c r="Z54" s="2"/>
      <c r="AA54" s="2"/>
      <c r="AB54" s="2"/>
      <c r="AC54" s="2" t="s">
        <v>77</v>
      </c>
      <c r="AD54" s="2"/>
      <c r="AE54" s="2" t="s">
        <v>153</v>
      </c>
      <c r="AF54" s="2" t="s">
        <v>241</v>
      </c>
      <c r="AG54" s="2" t="n">
        <v>20</v>
      </c>
      <c r="AH54" s="2" t="n">
        <v>8</v>
      </c>
      <c r="AI54" s="2" t="n">
        <v>20</v>
      </c>
      <c r="AJ54" s="2" t="n">
        <v>0</v>
      </c>
      <c r="AK54" s="2" t="n">
        <v>0</v>
      </c>
      <c r="AL54" s="2" t="n">
        <v>5</v>
      </c>
      <c r="AM54" s="5" t="n">
        <f aca="false">SUM(AG54:AL54)</f>
        <v>53</v>
      </c>
      <c r="AN54" s="5" t="str">
        <f aca="false">IF(AM54&gt;=80,"A",IF(AM54&gt;=60,"B","C"))</f>
        <v>C</v>
      </c>
      <c r="AO54" s="4"/>
      <c r="AP54" s="4" t="s">
        <v>503</v>
      </c>
      <c r="AQ54" s="2" t="s">
        <v>66</v>
      </c>
    </row>
    <row r="55" customFormat="false" ht="74.6" hidden="false" customHeight="false" outlineLevel="0" collapsed="false">
      <c r="A55" s="2" t="s">
        <v>504</v>
      </c>
      <c r="B55" s="2" t="s">
        <v>505</v>
      </c>
      <c r="C55" s="2"/>
      <c r="D55" s="2" t="s">
        <v>45</v>
      </c>
      <c r="E55" s="2" t="s">
        <v>118</v>
      </c>
      <c r="F55" s="2" t="s">
        <v>506</v>
      </c>
      <c r="G55" s="3" t="s">
        <v>47</v>
      </c>
      <c r="H55" s="2" t="n">
        <v>26.3720112991475</v>
      </c>
      <c r="I55" s="2" t="n">
        <v>50.2155654085435</v>
      </c>
      <c r="J55" s="2" t="s">
        <v>119</v>
      </c>
      <c r="K55" s="2" t="s">
        <v>49</v>
      </c>
      <c r="L55" s="2" t="s">
        <v>50</v>
      </c>
      <c r="M55" s="2"/>
      <c r="N55" s="2" t="n">
        <v>220</v>
      </c>
      <c r="O55" s="4" t="s">
        <v>214</v>
      </c>
      <c r="P55" s="4" t="s">
        <v>507</v>
      </c>
      <c r="Q55" s="3" t="s">
        <v>508</v>
      </c>
      <c r="R55" s="2"/>
      <c r="S55" s="2" t="s">
        <v>509</v>
      </c>
      <c r="T55" s="2"/>
      <c r="U55" s="2" t="s">
        <v>510</v>
      </c>
      <c r="V55" s="2"/>
      <c r="W55" s="2"/>
      <c r="X55" s="3" t="s">
        <v>511</v>
      </c>
      <c r="Y55" s="2"/>
      <c r="Z55" s="2"/>
      <c r="AA55" s="2"/>
      <c r="AB55" s="2"/>
      <c r="AC55" s="2" t="s">
        <v>77</v>
      </c>
      <c r="AD55" s="2"/>
      <c r="AE55" s="2" t="s">
        <v>63</v>
      </c>
      <c r="AF55" s="2" t="s">
        <v>64</v>
      </c>
      <c r="AG55" s="2" t="n">
        <v>20</v>
      </c>
      <c r="AH55" s="2" t="n">
        <v>8</v>
      </c>
      <c r="AI55" s="2" t="n">
        <v>6</v>
      </c>
      <c r="AJ55" s="2" t="n">
        <v>15</v>
      </c>
      <c r="AK55" s="2" t="n">
        <v>0</v>
      </c>
      <c r="AL55" s="2" t="n">
        <v>5</v>
      </c>
      <c r="AM55" s="5" t="n">
        <f aca="false">SUM(AG55:AL55)</f>
        <v>54</v>
      </c>
      <c r="AN55" s="5" t="str">
        <f aca="false">IF(AM55&gt;=80,"A",IF(AM55&gt;=60,"B","C"))</f>
        <v>C</v>
      </c>
      <c r="AO55" s="4"/>
      <c r="AP55" s="4" t="s">
        <v>512</v>
      </c>
      <c r="AQ55" s="2" t="s">
        <v>66</v>
      </c>
    </row>
    <row r="56" customFormat="false" ht="85.05" hidden="false" customHeight="false" outlineLevel="0" collapsed="false">
      <c r="A56" s="2" t="s">
        <v>513</v>
      </c>
      <c r="B56" s="2" t="s">
        <v>514</v>
      </c>
      <c r="C56" s="2"/>
      <c r="D56" s="2" t="s">
        <v>45</v>
      </c>
      <c r="E56" s="2" t="s">
        <v>515</v>
      </c>
      <c r="F56" s="2" t="s">
        <v>516</v>
      </c>
      <c r="G56" s="3" t="s">
        <v>47</v>
      </c>
      <c r="H56" s="2" t="n">
        <v>26.3150072042446</v>
      </c>
      <c r="I56" s="2" t="n">
        <v>50.213817358017</v>
      </c>
      <c r="J56" s="2" t="s">
        <v>277</v>
      </c>
      <c r="K56" s="2" t="s">
        <v>49</v>
      </c>
      <c r="L56" s="2" t="s">
        <v>50</v>
      </c>
      <c r="M56" s="2"/>
      <c r="N56" s="2" t="n">
        <v>216</v>
      </c>
      <c r="O56" s="4" t="s">
        <v>517</v>
      </c>
      <c r="P56" s="4" t="s">
        <v>518</v>
      </c>
      <c r="Q56" s="3" t="s">
        <v>519</v>
      </c>
      <c r="R56" s="2" t="s">
        <v>520</v>
      </c>
      <c r="S56" s="2"/>
      <c r="T56" s="2"/>
      <c r="U56" s="2" t="s">
        <v>521</v>
      </c>
      <c r="V56" s="2"/>
      <c r="W56" s="3" t="s">
        <v>522</v>
      </c>
      <c r="X56" s="2"/>
      <c r="Y56" s="2" t="s">
        <v>523</v>
      </c>
      <c r="Z56" s="2"/>
      <c r="AA56" s="2"/>
      <c r="AB56" s="2"/>
      <c r="AC56" s="2" t="s">
        <v>77</v>
      </c>
      <c r="AD56" s="2"/>
      <c r="AE56" s="2" t="s">
        <v>207</v>
      </c>
      <c r="AF56" s="2" t="s">
        <v>64</v>
      </c>
      <c r="AG56" s="2" t="n">
        <v>20</v>
      </c>
      <c r="AH56" s="2" t="n">
        <v>8</v>
      </c>
      <c r="AI56" s="2" t="n">
        <v>6</v>
      </c>
      <c r="AJ56" s="2" t="n">
        <v>5</v>
      </c>
      <c r="AK56" s="2" t="n">
        <v>0</v>
      </c>
      <c r="AL56" s="2" t="n">
        <v>5</v>
      </c>
      <c r="AM56" s="5" t="n">
        <f aca="false">SUM(AG56:AL56)</f>
        <v>44</v>
      </c>
      <c r="AN56" s="5" t="str">
        <f aca="false">IF(AM56&gt;=80,"A",IF(AM56&gt;=60,"B","C"))</f>
        <v>C</v>
      </c>
      <c r="AO56" s="4" t="s">
        <v>524</v>
      </c>
      <c r="AP56" s="4" t="s">
        <v>525</v>
      </c>
      <c r="AQ56" s="2" t="s">
        <v>66</v>
      </c>
    </row>
    <row r="57" customFormat="false" ht="74.6" hidden="false" customHeight="false" outlineLevel="0" collapsed="false">
      <c r="A57" s="2" t="s">
        <v>526</v>
      </c>
      <c r="B57" s="2" t="s">
        <v>527</v>
      </c>
      <c r="C57" s="2"/>
      <c r="D57" s="2" t="s">
        <v>45</v>
      </c>
      <c r="E57" s="2" t="s">
        <v>93</v>
      </c>
      <c r="F57" s="2" t="s">
        <v>528</v>
      </c>
      <c r="G57" s="3" t="s">
        <v>47</v>
      </c>
      <c r="H57" s="2" t="n">
        <v>26.3314535287895</v>
      </c>
      <c r="I57" s="2" t="n">
        <v>50.2055501192808</v>
      </c>
      <c r="J57" s="2" t="s">
        <v>277</v>
      </c>
      <c r="K57" s="2" t="s">
        <v>49</v>
      </c>
      <c r="L57" s="2" t="s">
        <v>50</v>
      </c>
      <c r="M57" s="2"/>
      <c r="N57" s="2"/>
      <c r="O57" s="4" t="s">
        <v>489</v>
      </c>
      <c r="P57" s="4" t="s">
        <v>529</v>
      </c>
      <c r="Q57" s="2"/>
      <c r="R57" s="2"/>
      <c r="S57" s="2"/>
      <c r="T57" s="2"/>
      <c r="U57" s="2"/>
      <c r="V57" s="2"/>
      <c r="W57" s="2"/>
      <c r="X57" s="2"/>
      <c r="Y57" s="2"/>
      <c r="Z57" s="2"/>
      <c r="AA57" s="2"/>
      <c r="AB57" s="2"/>
      <c r="AC57" s="2" t="s">
        <v>77</v>
      </c>
      <c r="AD57" s="2"/>
      <c r="AE57" s="2" t="s">
        <v>153</v>
      </c>
      <c r="AF57" s="2" t="s">
        <v>241</v>
      </c>
      <c r="AG57" s="2" t="n">
        <v>0</v>
      </c>
      <c r="AH57" s="2" t="n">
        <v>8</v>
      </c>
      <c r="AI57" s="2" t="n">
        <v>20</v>
      </c>
      <c r="AJ57" s="2" t="n">
        <v>0</v>
      </c>
      <c r="AK57" s="2" t="n">
        <v>0</v>
      </c>
      <c r="AL57" s="2" t="n">
        <v>5</v>
      </c>
      <c r="AM57" s="5" t="n">
        <f aca="false">SUM(AG57:AL57)</f>
        <v>33</v>
      </c>
      <c r="AN57" s="5" t="str">
        <f aca="false">IF(AM57&gt;=80,"A",IF(AM57&gt;=60,"B","C"))</f>
        <v>C</v>
      </c>
      <c r="AO57" s="4"/>
      <c r="AP57" s="4" t="s">
        <v>530</v>
      </c>
      <c r="AQ57" s="2" t="s">
        <v>66</v>
      </c>
    </row>
    <row r="58" customFormat="false" ht="64.15" hidden="false" customHeight="false" outlineLevel="0" collapsed="false">
      <c r="A58" s="2" t="s">
        <v>531</v>
      </c>
      <c r="B58" s="2" t="s">
        <v>532</v>
      </c>
      <c r="C58" s="2"/>
      <c r="D58" s="2" t="s">
        <v>347</v>
      </c>
      <c r="E58" s="2" t="s">
        <v>533</v>
      </c>
      <c r="F58" s="2" t="s">
        <v>534</v>
      </c>
      <c r="G58" s="3" t="s">
        <v>47</v>
      </c>
      <c r="H58" s="2" t="n">
        <v>26.3745115850403</v>
      </c>
      <c r="I58" s="2" t="n">
        <v>50.1256370544434</v>
      </c>
      <c r="J58" s="2" t="s">
        <v>277</v>
      </c>
      <c r="K58" s="2" t="s">
        <v>49</v>
      </c>
      <c r="L58" s="2" t="s">
        <v>50</v>
      </c>
      <c r="M58" s="2"/>
      <c r="N58" s="2" t="n">
        <v>195</v>
      </c>
      <c r="O58" s="4"/>
      <c r="P58" s="4" t="s">
        <v>535</v>
      </c>
      <c r="Q58" s="2"/>
      <c r="R58" s="2"/>
      <c r="S58" s="2"/>
      <c r="T58" s="2"/>
      <c r="U58" s="2"/>
      <c r="V58" s="2"/>
      <c r="W58" s="2"/>
      <c r="X58" s="2"/>
      <c r="Y58" s="2"/>
      <c r="Z58" s="2"/>
      <c r="AA58" s="2"/>
      <c r="AB58" s="2"/>
      <c r="AC58" s="2" t="s">
        <v>77</v>
      </c>
      <c r="AD58" s="2"/>
      <c r="AE58" s="2" t="s">
        <v>153</v>
      </c>
      <c r="AF58" s="2" t="s">
        <v>241</v>
      </c>
      <c r="AG58" s="2" t="n">
        <v>15</v>
      </c>
      <c r="AH58" s="2" t="n">
        <v>8</v>
      </c>
      <c r="AI58" s="2" t="n">
        <v>20</v>
      </c>
      <c r="AJ58" s="2" t="n">
        <v>0</v>
      </c>
      <c r="AK58" s="2" t="n">
        <v>0</v>
      </c>
      <c r="AL58" s="2" t="n">
        <v>5</v>
      </c>
      <c r="AM58" s="5" t="n">
        <f aca="false">SUM(AG58:AL58)</f>
        <v>48</v>
      </c>
      <c r="AN58" s="5" t="str">
        <f aca="false">IF(AM58&gt;=80,"A",IF(AM58&gt;=60,"B","C"))</f>
        <v>C</v>
      </c>
      <c r="AO58" s="4"/>
      <c r="AP58" s="4" t="s">
        <v>536</v>
      </c>
      <c r="AQ58" s="2" t="s">
        <v>66</v>
      </c>
    </row>
    <row r="59" customFormat="false" ht="74.6" hidden="false" customHeight="false" outlineLevel="0" collapsed="false">
      <c r="A59" s="2" t="s">
        <v>537</v>
      </c>
      <c r="B59" s="2" t="s">
        <v>538</v>
      </c>
      <c r="C59" s="2"/>
      <c r="D59" s="2" t="s">
        <v>45</v>
      </c>
      <c r="E59" s="2" t="s">
        <v>93</v>
      </c>
      <c r="F59" s="2" t="s">
        <v>539</v>
      </c>
      <c r="G59" s="3" t="s">
        <v>47</v>
      </c>
      <c r="H59" s="2" t="n">
        <v>26.3353006911878</v>
      </c>
      <c r="I59" s="2" t="n">
        <v>50.2038285438538</v>
      </c>
      <c r="J59" s="2" t="s">
        <v>277</v>
      </c>
      <c r="K59" s="2" t="s">
        <v>49</v>
      </c>
      <c r="L59" s="2" t="s">
        <v>50</v>
      </c>
      <c r="M59" s="2"/>
      <c r="N59" s="2"/>
      <c r="O59" s="4" t="s">
        <v>540</v>
      </c>
      <c r="P59" s="4" t="s">
        <v>541</v>
      </c>
      <c r="Q59" s="2"/>
      <c r="R59" s="2"/>
      <c r="S59" s="2"/>
      <c r="T59" s="2"/>
      <c r="U59" s="2"/>
      <c r="V59" s="2"/>
      <c r="W59" s="2"/>
      <c r="X59" s="2"/>
      <c r="Y59" s="2"/>
      <c r="Z59" s="2"/>
      <c r="AA59" s="2"/>
      <c r="AB59" s="2"/>
      <c r="AC59" s="2" t="s">
        <v>77</v>
      </c>
      <c r="AD59" s="2"/>
      <c r="AE59" s="2" t="s">
        <v>153</v>
      </c>
      <c r="AF59" s="2" t="s">
        <v>241</v>
      </c>
      <c r="AG59" s="2" t="n">
        <v>0</v>
      </c>
      <c r="AH59" s="2" t="n">
        <v>8</v>
      </c>
      <c r="AI59" s="2" t="n">
        <v>20</v>
      </c>
      <c r="AJ59" s="2" t="n">
        <v>0</v>
      </c>
      <c r="AK59" s="2" t="n">
        <v>0</v>
      </c>
      <c r="AL59" s="2" t="n">
        <v>5</v>
      </c>
      <c r="AM59" s="5" t="n">
        <f aca="false">SUM(AG59:AL59)</f>
        <v>33</v>
      </c>
      <c r="AN59" s="5" t="str">
        <f aca="false">IF(AM59&gt;=80,"A",IF(AM59&gt;=60,"B","C"))</f>
        <v>C</v>
      </c>
      <c r="AO59" s="4"/>
      <c r="AP59" s="4" t="s">
        <v>542</v>
      </c>
      <c r="AQ59" s="2" t="s">
        <v>66</v>
      </c>
    </row>
    <row r="60" customFormat="false" ht="74.6" hidden="false" customHeight="false" outlineLevel="0" collapsed="false">
      <c r="A60" s="2" t="s">
        <v>543</v>
      </c>
      <c r="B60" s="2" t="s">
        <v>544</v>
      </c>
      <c r="C60" s="2"/>
      <c r="D60" s="2" t="s">
        <v>45</v>
      </c>
      <c r="E60" s="2" t="s">
        <v>545</v>
      </c>
      <c r="F60" s="2" t="s">
        <v>546</v>
      </c>
      <c r="G60" s="3" t="s">
        <v>47</v>
      </c>
      <c r="H60" s="2" t="n">
        <v>26.2993977448953</v>
      </c>
      <c r="I60" s="2" t="n">
        <v>50.2021336555481</v>
      </c>
      <c r="J60" s="2" t="s">
        <v>48</v>
      </c>
      <c r="K60" s="2" t="s">
        <v>49</v>
      </c>
      <c r="L60" s="2" t="s">
        <v>50</v>
      </c>
      <c r="M60" s="2"/>
      <c r="N60" s="2" t="n">
        <v>65</v>
      </c>
      <c r="O60" s="4" t="s">
        <v>547</v>
      </c>
      <c r="P60" s="4" t="s">
        <v>548</v>
      </c>
      <c r="Q60" s="2"/>
      <c r="R60" s="2"/>
      <c r="S60" s="2"/>
      <c r="T60" s="2"/>
      <c r="U60" s="2"/>
      <c r="V60" s="2"/>
      <c r="W60" s="2"/>
      <c r="X60" s="2"/>
      <c r="Y60" s="2"/>
      <c r="Z60" s="2"/>
      <c r="AA60" s="2"/>
      <c r="AB60" s="2"/>
      <c r="AC60" s="2" t="s">
        <v>77</v>
      </c>
      <c r="AD60" s="2"/>
      <c r="AE60" s="2" t="s">
        <v>153</v>
      </c>
      <c r="AF60" s="2" t="s">
        <v>241</v>
      </c>
      <c r="AG60" s="2" t="n">
        <v>10</v>
      </c>
      <c r="AH60" s="2" t="n">
        <v>8</v>
      </c>
      <c r="AI60" s="2" t="n">
        <v>20</v>
      </c>
      <c r="AJ60" s="2" t="n">
        <v>0</v>
      </c>
      <c r="AK60" s="2" t="n">
        <v>0</v>
      </c>
      <c r="AL60" s="2" t="n">
        <v>5</v>
      </c>
      <c r="AM60" s="5" t="n">
        <f aca="false">SUM(AG60:AL60)</f>
        <v>43</v>
      </c>
      <c r="AN60" s="5" t="str">
        <f aca="false">IF(AM60&gt;=80,"A",IF(AM60&gt;=60,"B","C"))</f>
        <v>C</v>
      </c>
      <c r="AO60" s="4"/>
      <c r="AP60" s="4" t="s">
        <v>549</v>
      </c>
      <c r="AQ60" s="2" t="s">
        <v>66</v>
      </c>
    </row>
    <row r="61" customFormat="false" ht="74.6" hidden="false" customHeight="false" outlineLevel="0" collapsed="false">
      <c r="A61" s="2" t="s">
        <v>550</v>
      </c>
      <c r="B61" s="2" t="s">
        <v>551</v>
      </c>
      <c r="C61" s="2"/>
      <c r="D61" s="2" t="s">
        <v>45</v>
      </c>
      <c r="E61" s="2" t="s">
        <v>222</v>
      </c>
      <c r="F61" s="2" t="s">
        <v>552</v>
      </c>
      <c r="G61" s="3" t="s">
        <v>47</v>
      </c>
      <c r="H61" s="2" t="n">
        <v>26.1090048272191</v>
      </c>
      <c r="I61" s="2" t="n">
        <v>50.1395628158569</v>
      </c>
      <c r="J61" s="2" t="s">
        <v>48</v>
      </c>
      <c r="K61" s="2" t="s">
        <v>49</v>
      </c>
      <c r="L61" s="2" t="s">
        <v>50</v>
      </c>
      <c r="M61" s="2"/>
      <c r="N61" s="2" t="n">
        <v>108</v>
      </c>
      <c r="O61" s="4"/>
      <c r="P61" s="4" t="s">
        <v>553</v>
      </c>
      <c r="Q61" s="2"/>
      <c r="R61" s="2"/>
      <c r="S61" s="2"/>
      <c r="T61" s="2"/>
      <c r="U61" s="2"/>
      <c r="V61" s="2"/>
      <c r="W61" s="2"/>
      <c r="X61" s="2"/>
      <c r="Y61" s="2"/>
      <c r="Z61" s="2"/>
      <c r="AA61" s="2"/>
      <c r="AB61" s="2"/>
      <c r="AC61" s="2" t="s">
        <v>77</v>
      </c>
      <c r="AD61" s="2"/>
      <c r="AE61" s="2" t="s">
        <v>153</v>
      </c>
      <c r="AF61" s="2" t="s">
        <v>241</v>
      </c>
      <c r="AG61" s="2" t="n">
        <v>15</v>
      </c>
      <c r="AH61" s="2" t="n">
        <v>8</v>
      </c>
      <c r="AI61" s="2" t="n">
        <v>20</v>
      </c>
      <c r="AJ61" s="2" t="n">
        <v>0</v>
      </c>
      <c r="AK61" s="2" t="n">
        <v>0</v>
      </c>
      <c r="AL61" s="2" t="n">
        <v>5</v>
      </c>
      <c r="AM61" s="5" t="n">
        <f aca="false">SUM(AG61:AL61)</f>
        <v>48</v>
      </c>
      <c r="AN61" s="5" t="str">
        <f aca="false">IF(AM61&gt;=80,"A",IF(AM61&gt;=60,"B","C"))</f>
        <v>C</v>
      </c>
      <c r="AO61" s="4"/>
      <c r="AP61" s="4" t="s">
        <v>554</v>
      </c>
      <c r="AQ61" s="2" t="s">
        <v>66</v>
      </c>
    </row>
    <row r="62" customFormat="false" ht="43.25" hidden="false" customHeight="false" outlineLevel="0" collapsed="false">
      <c r="A62" s="2" t="s">
        <v>555</v>
      </c>
      <c r="B62" s="2" t="s">
        <v>556</v>
      </c>
      <c r="C62" s="2"/>
      <c r="D62" s="2" t="s">
        <v>45</v>
      </c>
      <c r="E62" s="2" t="s">
        <v>340</v>
      </c>
      <c r="F62" s="2" t="s">
        <v>46</v>
      </c>
      <c r="G62" s="3" t="s">
        <v>47</v>
      </c>
      <c r="H62" s="2" t="n">
        <v>26.3263451047402</v>
      </c>
      <c r="I62" s="2" t="n">
        <v>50.1903963088989</v>
      </c>
      <c r="J62" s="2" t="s">
        <v>48</v>
      </c>
      <c r="K62" s="2" t="s">
        <v>49</v>
      </c>
      <c r="L62" s="2" t="s">
        <v>50</v>
      </c>
      <c r="M62" s="2"/>
      <c r="N62" s="2" t="n">
        <v>33</v>
      </c>
      <c r="O62" s="4" t="s">
        <v>557</v>
      </c>
      <c r="P62" s="4" t="s">
        <v>558</v>
      </c>
      <c r="Q62" s="2"/>
      <c r="R62" s="2"/>
      <c r="S62" s="2"/>
      <c r="T62" s="2"/>
      <c r="U62" s="2"/>
      <c r="V62" s="2"/>
      <c r="W62" s="2"/>
      <c r="X62" s="2"/>
      <c r="Y62" s="2"/>
      <c r="Z62" s="2"/>
      <c r="AA62" s="2"/>
      <c r="AB62" s="2"/>
      <c r="AC62" s="2" t="s">
        <v>77</v>
      </c>
      <c r="AD62" s="2"/>
      <c r="AE62" s="2" t="s">
        <v>153</v>
      </c>
      <c r="AF62" s="2" t="s">
        <v>241</v>
      </c>
      <c r="AG62" s="2" t="n">
        <v>5</v>
      </c>
      <c r="AH62" s="2" t="n">
        <v>8</v>
      </c>
      <c r="AI62" s="2" t="n">
        <v>20</v>
      </c>
      <c r="AJ62" s="2" t="n">
        <v>0</v>
      </c>
      <c r="AK62" s="2" t="n">
        <v>0</v>
      </c>
      <c r="AL62" s="2" t="n">
        <v>5</v>
      </c>
      <c r="AM62" s="5" t="n">
        <f aca="false">SUM(AG62:AL62)</f>
        <v>38</v>
      </c>
      <c r="AN62" s="5" t="str">
        <f aca="false">IF(AM62&gt;=80,"A",IF(AM62&gt;=60,"B","C"))</f>
        <v>C</v>
      </c>
      <c r="AO62" s="4"/>
      <c r="AP62" s="4" t="s">
        <v>559</v>
      </c>
      <c r="AQ62" s="2" t="s">
        <v>66</v>
      </c>
    </row>
    <row r="63" customFormat="false" ht="43.25" hidden="false" customHeight="false" outlineLevel="0" collapsed="false">
      <c r="A63" s="2" t="s">
        <v>560</v>
      </c>
      <c r="B63" s="2" t="s">
        <v>561</v>
      </c>
      <c r="C63" s="2"/>
      <c r="D63" s="2" t="s">
        <v>45</v>
      </c>
      <c r="E63" s="2" t="s">
        <v>562</v>
      </c>
      <c r="F63" s="2" t="s">
        <v>563</v>
      </c>
      <c r="G63" s="3" t="s">
        <v>47</v>
      </c>
      <c r="H63" s="2" t="n">
        <v>26.3258820968871</v>
      </c>
      <c r="I63" s="2" t="n">
        <v>50.1973590557099</v>
      </c>
      <c r="J63" s="2" t="s">
        <v>119</v>
      </c>
      <c r="K63" s="2" t="s">
        <v>49</v>
      </c>
      <c r="L63" s="2" t="s">
        <v>50</v>
      </c>
      <c r="M63" s="2"/>
      <c r="N63" s="2"/>
      <c r="O63" s="4" t="s">
        <v>564</v>
      </c>
      <c r="P63" s="4" t="s">
        <v>565</v>
      </c>
      <c r="Q63" s="2"/>
      <c r="R63" s="2"/>
      <c r="S63" s="2"/>
      <c r="T63" s="2"/>
      <c r="U63" s="2"/>
      <c r="V63" s="2"/>
      <c r="W63" s="2"/>
      <c r="X63" s="2"/>
      <c r="Y63" s="2"/>
      <c r="Z63" s="2"/>
      <c r="AA63" s="2"/>
      <c r="AB63" s="2"/>
      <c r="AC63" s="2" t="s">
        <v>77</v>
      </c>
      <c r="AD63" s="2"/>
      <c r="AE63" s="2" t="s">
        <v>153</v>
      </c>
      <c r="AF63" s="2" t="s">
        <v>241</v>
      </c>
      <c r="AG63" s="2" t="n">
        <v>0</v>
      </c>
      <c r="AH63" s="2" t="n">
        <v>8</v>
      </c>
      <c r="AI63" s="2" t="n">
        <v>20</v>
      </c>
      <c r="AJ63" s="2" t="n">
        <v>0</v>
      </c>
      <c r="AK63" s="2" t="n">
        <v>0</v>
      </c>
      <c r="AL63" s="2" t="n">
        <v>5</v>
      </c>
      <c r="AM63" s="5" t="n">
        <f aca="false">SUM(AG63:AL63)</f>
        <v>33</v>
      </c>
      <c r="AN63" s="5" t="str">
        <f aca="false">IF(AM63&gt;=80,"A",IF(AM63&gt;=60,"B","C"))</f>
        <v>C</v>
      </c>
      <c r="AO63" s="4"/>
      <c r="AP63" s="4" t="s">
        <v>566</v>
      </c>
      <c r="AQ63" s="2" t="s">
        <v>66</v>
      </c>
    </row>
    <row r="64" customFormat="false" ht="43.25" hidden="false" customHeight="false" outlineLevel="0" collapsed="false">
      <c r="A64" s="2" t="s">
        <v>567</v>
      </c>
      <c r="B64" s="2" t="s">
        <v>568</v>
      </c>
      <c r="C64" s="2"/>
      <c r="D64" s="2" t="s">
        <v>45</v>
      </c>
      <c r="E64" s="2" t="s">
        <v>569</v>
      </c>
      <c r="F64" s="2" t="s">
        <v>570</v>
      </c>
      <c r="G64" s="3" t="s">
        <v>47</v>
      </c>
      <c r="H64" s="2" t="n">
        <v>26.1897391413111</v>
      </c>
      <c r="I64" s="2" t="n">
        <v>50.2115962211609</v>
      </c>
      <c r="J64" s="2" t="s">
        <v>571</v>
      </c>
      <c r="K64" s="2" t="s">
        <v>49</v>
      </c>
      <c r="L64" s="2" t="s">
        <v>50</v>
      </c>
      <c r="M64" s="2"/>
      <c r="N64" s="2"/>
      <c r="O64" s="4" t="s">
        <v>572</v>
      </c>
      <c r="P64" s="4" t="s">
        <v>573</v>
      </c>
      <c r="Q64" s="2"/>
      <c r="R64" s="2"/>
      <c r="S64" s="2"/>
      <c r="T64" s="2"/>
      <c r="U64" s="2"/>
      <c r="V64" s="2"/>
      <c r="W64" s="2"/>
      <c r="X64" s="2"/>
      <c r="Y64" s="2"/>
      <c r="Z64" s="2"/>
      <c r="AA64" s="2"/>
      <c r="AB64" s="2"/>
      <c r="AC64" s="2" t="s">
        <v>77</v>
      </c>
      <c r="AD64" s="2"/>
      <c r="AE64" s="2" t="s">
        <v>153</v>
      </c>
      <c r="AF64" s="2" t="s">
        <v>241</v>
      </c>
      <c r="AG64" s="2" t="n">
        <v>0</v>
      </c>
      <c r="AH64" s="2" t="n">
        <v>8</v>
      </c>
      <c r="AI64" s="2" t="n">
        <v>20</v>
      </c>
      <c r="AJ64" s="2" t="n">
        <v>0</v>
      </c>
      <c r="AK64" s="2" t="n">
        <v>0</v>
      </c>
      <c r="AL64" s="2" t="n">
        <v>5</v>
      </c>
      <c r="AM64" s="5" t="n">
        <f aca="false">SUM(AG64:AL64)</f>
        <v>33</v>
      </c>
      <c r="AN64" s="5" t="str">
        <f aca="false">IF(AM64&gt;=80,"A",IF(AM64&gt;=60,"B","C"))</f>
        <v>C</v>
      </c>
      <c r="AO64" s="4"/>
      <c r="AP64" s="4" t="s">
        <v>574</v>
      </c>
      <c r="AQ64" s="2" t="s">
        <v>66</v>
      </c>
    </row>
    <row r="65" customFormat="false" ht="43.25" hidden="false" customHeight="false" outlineLevel="0" collapsed="false">
      <c r="A65" s="2" t="s">
        <v>575</v>
      </c>
      <c r="B65" s="2" t="s">
        <v>576</v>
      </c>
      <c r="C65" s="2"/>
      <c r="D65" s="2" t="s">
        <v>45</v>
      </c>
      <c r="E65" s="2" t="s">
        <v>222</v>
      </c>
      <c r="F65" s="2" t="s">
        <v>577</v>
      </c>
      <c r="G65" s="3" t="s">
        <v>47</v>
      </c>
      <c r="H65" s="2" t="n">
        <v>26.1878680369865</v>
      </c>
      <c r="I65" s="2" t="n">
        <v>50.1795387268066</v>
      </c>
      <c r="J65" s="2" t="s">
        <v>119</v>
      </c>
      <c r="K65" s="2" t="s">
        <v>49</v>
      </c>
      <c r="L65" s="2" t="s">
        <v>50</v>
      </c>
      <c r="M65" s="2"/>
      <c r="N65" s="2"/>
      <c r="O65" s="4"/>
      <c r="P65" s="4" t="s">
        <v>578</v>
      </c>
      <c r="Q65" s="2"/>
      <c r="R65" s="2"/>
      <c r="S65" s="2"/>
      <c r="T65" s="2"/>
      <c r="U65" s="2"/>
      <c r="V65" s="2"/>
      <c r="W65" s="2"/>
      <c r="X65" s="2"/>
      <c r="Y65" s="2"/>
      <c r="Z65" s="2"/>
      <c r="AA65" s="2"/>
      <c r="AB65" s="2"/>
      <c r="AC65" s="2" t="s">
        <v>77</v>
      </c>
      <c r="AD65" s="2"/>
      <c r="AE65" s="2" t="s">
        <v>153</v>
      </c>
      <c r="AF65" s="2" t="s">
        <v>241</v>
      </c>
      <c r="AG65" s="2" t="n">
        <v>0</v>
      </c>
      <c r="AH65" s="2" t="n">
        <v>8</v>
      </c>
      <c r="AI65" s="2" t="n">
        <v>20</v>
      </c>
      <c r="AJ65" s="2" t="n">
        <v>0</v>
      </c>
      <c r="AK65" s="2" t="n">
        <v>0</v>
      </c>
      <c r="AL65" s="2" t="n">
        <v>5</v>
      </c>
      <c r="AM65" s="5" t="n">
        <f aca="false">SUM(AG65:AL65)</f>
        <v>33</v>
      </c>
      <c r="AN65" s="5" t="str">
        <f aca="false">IF(AM65&gt;=80,"A",IF(AM65&gt;=60,"B","C"))</f>
        <v>C</v>
      </c>
      <c r="AO65" s="4"/>
      <c r="AP65" s="4" t="s">
        <v>579</v>
      </c>
      <c r="AQ65" s="2" t="s">
        <v>66</v>
      </c>
    </row>
    <row r="66" customFormat="false" ht="32.8" hidden="false" customHeight="false" outlineLevel="0" collapsed="false">
      <c r="A66" s="2" t="s">
        <v>580</v>
      </c>
      <c r="B66" s="2" t="s">
        <v>581</v>
      </c>
      <c r="C66" s="2"/>
      <c r="D66" s="2" t="s">
        <v>45</v>
      </c>
      <c r="E66" s="2" t="s">
        <v>582</v>
      </c>
      <c r="F66" s="2" t="s">
        <v>46</v>
      </c>
      <c r="G66" s="3" t="s">
        <v>47</v>
      </c>
      <c r="H66" s="2" t="n">
        <v>26.3177672533831</v>
      </c>
      <c r="I66" s="2" t="n">
        <v>50.184817314148</v>
      </c>
      <c r="J66" s="2" t="s">
        <v>119</v>
      </c>
      <c r="K66" s="2" t="s">
        <v>49</v>
      </c>
      <c r="L66" s="2" t="s">
        <v>50</v>
      </c>
      <c r="M66" s="2"/>
      <c r="N66" s="2"/>
      <c r="O66" s="4"/>
      <c r="P66" s="4" t="s">
        <v>583</v>
      </c>
      <c r="Q66" s="2"/>
      <c r="R66" s="2"/>
      <c r="S66" s="2"/>
      <c r="T66" s="2"/>
      <c r="U66" s="2"/>
      <c r="V66" s="2"/>
      <c r="W66" s="2"/>
      <c r="X66" s="2"/>
      <c r="Y66" s="2"/>
      <c r="Z66" s="2"/>
      <c r="AA66" s="2"/>
      <c r="AB66" s="2"/>
      <c r="AC66" s="2" t="s">
        <v>77</v>
      </c>
      <c r="AD66" s="2"/>
      <c r="AE66" s="2" t="s">
        <v>153</v>
      </c>
      <c r="AF66" s="2" t="s">
        <v>241</v>
      </c>
      <c r="AG66" s="2" t="n">
        <v>0</v>
      </c>
      <c r="AH66" s="2" t="n">
        <v>8</v>
      </c>
      <c r="AI66" s="2" t="n">
        <v>20</v>
      </c>
      <c r="AJ66" s="2" t="n">
        <v>0</v>
      </c>
      <c r="AK66" s="2" t="n">
        <v>0</v>
      </c>
      <c r="AL66" s="2" t="n">
        <v>5</v>
      </c>
      <c r="AM66" s="5" t="n">
        <f aca="false">SUM(AG66:AL66)</f>
        <v>33</v>
      </c>
      <c r="AN66" s="5" t="str">
        <f aca="false">IF(AM66&gt;=80,"A",IF(AM66&gt;=60,"B","C"))</f>
        <v>C</v>
      </c>
      <c r="AO66" s="4"/>
      <c r="AP66" s="4" t="s">
        <v>584</v>
      </c>
      <c r="AQ66" s="2" t="s">
        <v>66</v>
      </c>
    </row>
    <row r="67" customFormat="false" ht="74.6" hidden="false" customHeight="false" outlineLevel="0" collapsed="false">
      <c r="A67" s="2" t="s">
        <v>585</v>
      </c>
      <c r="B67" s="2" t="s">
        <v>586</v>
      </c>
      <c r="C67" s="2"/>
      <c r="D67" s="2" t="s">
        <v>45</v>
      </c>
      <c r="E67" s="2" t="s">
        <v>167</v>
      </c>
      <c r="F67" s="2" t="s">
        <v>587</v>
      </c>
      <c r="G67" s="3" t="s">
        <v>47</v>
      </c>
      <c r="H67" s="2" t="n">
        <v>26.3396563516072</v>
      </c>
      <c r="I67" s="2" t="n">
        <v>50.2035281364441</v>
      </c>
      <c r="J67" s="2" t="s">
        <v>119</v>
      </c>
      <c r="K67" s="2" t="s">
        <v>49</v>
      </c>
      <c r="L67" s="2" t="s">
        <v>50</v>
      </c>
      <c r="M67" s="2"/>
      <c r="N67" s="2"/>
      <c r="O67" s="4"/>
      <c r="P67" s="4" t="s">
        <v>588</v>
      </c>
      <c r="Q67" s="2"/>
      <c r="R67" s="2"/>
      <c r="S67" s="2"/>
      <c r="T67" s="2"/>
      <c r="U67" s="2"/>
      <c r="V67" s="2"/>
      <c r="W67" s="2"/>
      <c r="X67" s="2"/>
      <c r="Y67" s="2"/>
      <c r="Z67" s="2"/>
      <c r="AA67" s="2"/>
      <c r="AB67" s="2"/>
      <c r="AC67" s="2" t="s">
        <v>77</v>
      </c>
      <c r="AD67" s="2"/>
      <c r="AE67" s="2" t="s">
        <v>153</v>
      </c>
      <c r="AF67" s="2" t="s">
        <v>241</v>
      </c>
      <c r="AG67" s="2" t="n">
        <v>0</v>
      </c>
      <c r="AH67" s="2" t="n">
        <v>8</v>
      </c>
      <c r="AI67" s="2" t="n">
        <v>20</v>
      </c>
      <c r="AJ67" s="2" t="n">
        <v>0</v>
      </c>
      <c r="AK67" s="2" t="n">
        <v>0</v>
      </c>
      <c r="AL67" s="2" t="n">
        <v>5</v>
      </c>
      <c r="AM67" s="5" t="n">
        <f aca="false">SUM(AG67:AL67)</f>
        <v>33</v>
      </c>
      <c r="AN67" s="5" t="str">
        <f aca="false">IF(AM67&gt;=80,"A",IF(AM67&gt;=60,"B","C"))</f>
        <v>C</v>
      </c>
      <c r="AO67" s="4"/>
      <c r="AP67" s="4" t="s">
        <v>589</v>
      </c>
      <c r="AQ67" s="2" t="s">
        <v>66</v>
      </c>
    </row>
    <row r="68" customFormat="false" ht="43.25" hidden="false" customHeight="false" outlineLevel="0" collapsed="false">
      <c r="A68" s="2" t="s">
        <v>590</v>
      </c>
      <c r="B68" s="2" t="s">
        <v>591</v>
      </c>
      <c r="C68" s="2"/>
      <c r="D68" s="2" t="s">
        <v>45</v>
      </c>
      <c r="E68" s="2" t="s">
        <v>592</v>
      </c>
      <c r="F68" s="2" t="s">
        <v>593</v>
      </c>
      <c r="G68" s="3" t="s">
        <v>47</v>
      </c>
      <c r="H68" s="2" t="n">
        <v>26.3266262253037</v>
      </c>
      <c r="I68" s="2" t="n">
        <v>50.2154615247929</v>
      </c>
      <c r="J68" s="2" t="s">
        <v>277</v>
      </c>
      <c r="K68" s="2" t="s">
        <v>49</v>
      </c>
      <c r="L68" s="2" t="s">
        <v>50</v>
      </c>
      <c r="M68" s="2"/>
      <c r="N68" s="2"/>
      <c r="O68" s="4"/>
      <c r="P68" s="4" t="s">
        <v>594</v>
      </c>
      <c r="Q68" s="2"/>
      <c r="R68" s="2"/>
      <c r="S68" s="2"/>
      <c r="T68" s="2"/>
      <c r="U68" s="2"/>
      <c r="V68" s="2"/>
      <c r="W68" s="2"/>
      <c r="X68" s="2"/>
      <c r="Y68" s="2"/>
      <c r="Z68" s="2"/>
      <c r="AA68" s="2"/>
      <c r="AB68" s="2"/>
      <c r="AC68" s="2" t="s">
        <v>77</v>
      </c>
      <c r="AD68" s="2"/>
      <c r="AE68" s="2" t="s">
        <v>153</v>
      </c>
      <c r="AF68" s="2" t="s">
        <v>241</v>
      </c>
      <c r="AG68" s="2" t="n">
        <v>0</v>
      </c>
      <c r="AH68" s="2" t="n">
        <v>8</v>
      </c>
      <c r="AI68" s="2" t="n">
        <v>20</v>
      </c>
      <c r="AJ68" s="2" t="n">
        <v>0</v>
      </c>
      <c r="AK68" s="2" t="n">
        <v>0</v>
      </c>
      <c r="AL68" s="2" t="n">
        <v>5</v>
      </c>
      <c r="AM68" s="5" t="n">
        <f aca="false">SUM(AG68:AL68)</f>
        <v>33</v>
      </c>
      <c r="AN68" s="5" t="str">
        <f aca="false">IF(AM68&gt;=80,"A",IF(AM68&gt;=60,"B","C"))</f>
        <v>C</v>
      </c>
      <c r="AO68" s="4"/>
      <c r="AP68" s="4" t="s">
        <v>595</v>
      </c>
      <c r="AQ68" s="2" t="s">
        <v>66</v>
      </c>
    </row>
    <row r="69" customFormat="false" ht="74.6" hidden="false" customHeight="false" outlineLevel="0" collapsed="false">
      <c r="A69" s="2" t="s">
        <v>596</v>
      </c>
      <c r="B69" s="2" t="s">
        <v>597</v>
      </c>
      <c r="C69" s="2"/>
      <c r="D69" s="2" t="s">
        <v>45</v>
      </c>
      <c r="E69" s="2" t="s">
        <v>598</v>
      </c>
      <c r="F69" s="2" t="s">
        <v>599</v>
      </c>
      <c r="G69" s="3" t="s">
        <v>47</v>
      </c>
      <c r="H69" s="2" t="n">
        <v>26.3307251413971</v>
      </c>
      <c r="I69" s="2" t="n">
        <v>50.1857721805573</v>
      </c>
      <c r="J69" s="2" t="s">
        <v>48</v>
      </c>
      <c r="K69" s="2" t="s">
        <v>49</v>
      </c>
      <c r="L69" s="2" t="s">
        <v>50</v>
      </c>
      <c r="M69" s="2"/>
      <c r="N69" s="2"/>
      <c r="O69" s="4"/>
      <c r="P69" s="4" t="s">
        <v>600</v>
      </c>
      <c r="Q69" s="2"/>
      <c r="R69" s="2"/>
      <c r="S69" s="2"/>
      <c r="T69" s="2"/>
      <c r="U69" s="2"/>
      <c r="V69" s="2"/>
      <c r="W69" s="2"/>
      <c r="X69" s="2"/>
      <c r="Y69" s="2"/>
      <c r="Z69" s="2"/>
      <c r="AA69" s="2"/>
      <c r="AB69" s="2"/>
      <c r="AC69" s="2" t="s">
        <v>77</v>
      </c>
      <c r="AD69" s="2"/>
      <c r="AE69" s="2" t="s">
        <v>153</v>
      </c>
      <c r="AF69" s="2" t="s">
        <v>241</v>
      </c>
      <c r="AG69" s="2" t="n">
        <v>0</v>
      </c>
      <c r="AH69" s="2" t="n">
        <v>8</v>
      </c>
      <c r="AI69" s="2" t="n">
        <v>20</v>
      </c>
      <c r="AJ69" s="2" t="n">
        <v>0</v>
      </c>
      <c r="AK69" s="2" t="n">
        <v>0</v>
      </c>
      <c r="AL69" s="2" t="n">
        <v>5</v>
      </c>
      <c r="AM69" s="5" t="n">
        <f aca="false">SUM(AG69:AL69)</f>
        <v>33</v>
      </c>
      <c r="AN69" s="5" t="str">
        <f aca="false">IF(AM69&gt;=80,"A",IF(AM69&gt;=60,"B","C"))</f>
        <v>C</v>
      </c>
      <c r="AO69" s="4"/>
      <c r="AP69" s="4" t="s">
        <v>601</v>
      </c>
      <c r="AQ69" s="2" t="s">
        <v>66</v>
      </c>
    </row>
    <row r="70" customFormat="false" ht="74.6" hidden="false" customHeight="false" outlineLevel="0" collapsed="false">
      <c r="A70" s="2" t="s">
        <v>602</v>
      </c>
      <c r="B70" s="2" t="s">
        <v>603</v>
      </c>
      <c r="C70" s="2"/>
      <c r="D70" s="2" t="s">
        <v>45</v>
      </c>
      <c r="E70" s="2" t="s">
        <v>604</v>
      </c>
      <c r="F70" s="2" t="s">
        <v>604</v>
      </c>
      <c r="G70" s="3" t="s">
        <v>47</v>
      </c>
      <c r="H70" s="2" t="n">
        <v>26.3208295577421</v>
      </c>
      <c r="I70" s="2" t="n">
        <v>50.2175089584895</v>
      </c>
      <c r="J70" s="2" t="s">
        <v>119</v>
      </c>
      <c r="K70" s="2" t="s">
        <v>49</v>
      </c>
      <c r="L70" s="2" t="s">
        <v>50</v>
      </c>
      <c r="M70" s="2"/>
      <c r="N70" s="2"/>
      <c r="O70" s="4"/>
      <c r="P70" s="4" t="s">
        <v>605</v>
      </c>
      <c r="Q70" s="2"/>
      <c r="R70" s="2"/>
      <c r="S70" s="2"/>
      <c r="T70" s="2"/>
      <c r="U70" s="2"/>
      <c r="V70" s="2"/>
      <c r="W70" s="2"/>
      <c r="X70" s="2"/>
      <c r="Y70" s="2"/>
      <c r="Z70" s="2"/>
      <c r="AA70" s="2"/>
      <c r="AB70" s="2"/>
      <c r="AC70" s="2" t="s">
        <v>77</v>
      </c>
      <c r="AD70" s="2"/>
      <c r="AE70" s="2" t="s">
        <v>153</v>
      </c>
      <c r="AF70" s="2" t="s">
        <v>241</v>
      </c>
      <c r="AG70" s="2" t="n">
        <v>0</v>
      </c>
      <c r="AH70" s="2" t="n">
        <v>8</v>
      </c>
      <c r="AI70" s="2" t="n">
        <v>20</v>
      </c>
      <c r="AJ70" s="2" t="n">
        <v>0</v>
      </c>
      <c r="AK70" s="2" t="n">
        <v>0</v>
      </c>
      <c r="AL70" s="2" t="n">
        <v>5</v>
      </c>
      <c r="AM70" s="5" t="n">
        <f aca="false">SUM(AG70:AL70)</f>
        <v>33</v>
      </c>
      <c r="AN70" s="5" t="str">
        <f aca="false">IF(AM70&gt;=80,"A",IF(AM70&gt;=60,"B","C"))</f>
        <v>C</v>
      </c>
      <c r="AO70" s="4"/>
      <c r="AP70" s="4" t="s">
        <v>606</v>
      </c>
      <c r="AQ70" s="2" t="s">
        <v>66</v>
      </c>
    </row>
    <row r="71" customFormat="false" ht="74.6" hidden="false" customHeight="false" outlineLevel="0" collapsed="false">
      <c r="A71" s="2" t="s">
        <v>607</v>
      </c>
      <c r="B71" s="2" t="s">
        <v>608</v>
      </c>
      <c r="C71" s="2"/>
      <c r="D71" s="2" t="s">
        <v>45</v>
      </c>
      <c r="E71" s="2"/>
      <c r="F71" s="2" t="s">
        <v>45</v>
      </c>
      <c r="G71" s="3" t="s">
        <v>47</v>
      </c>
      <c r="H71" s="2" t="n">
        <v>26.3316145907296</v>
      </c>
      <c r="I71" s="2" t="n">
        <v>50.1913189888001</v>
      </c>
      <c r="J71" s="2" t="s">
        <v>119</v>
      </c>
      <c r="K71" s="2" t="s">
        <v>49</v>
      </c>
      <c r="L71" s="2" t="s">
        <v>50</v>
      </c>
      <c r="M71" s="2"/>
      <c r="N71" s="2"/>
      <c r="O71" s="4"/>
      <c r="P71" s="4" t="s">
        <v>609</v>
      </c>
      <c r="Q71" s="2"/>
      <c r="R71" s="2"/>
      <c r="S71" s="2"/>
      <c r="T71" s="2"/>
      <c r="U71" s="2"/>
      <c r="V71" s="2"/>
      <c r="W71" s="2"/>
      <c r="X71" s="2"/>
      <c r="Y71" s="2"/>
      <c r="Z71" s="2"/>
      <c r="AA71" s="2"/>
      <c r="AB71" s="2"/>
      <c r="AC71" s="2" t="s">
        <v>77</v>
      </c>
      <c r="AD71" s="2"/>
      <c r="AE71" s="2" t="s">
        <v>153</v>
      </c>
      <c r="AF71" s="2" t="s">
        <v>241</v>
      </c>
      <c r="AG71" s="2" t="n">
        <v>0</v>
      </c>
      <c r="AH71" s="2" t="n">
        <v>8</v>
      </c>
      <c r="AI71" s="2" t="n">
        <v>20</v>
      </c>
      <c r="AJ71" s="2" t="n">
        <v>0</v>
      </c>
      <c r="AK71" s="2" t="n">
        <v>0</v>
      </c>
      <c r="AL71" s="2" t="n">
        <v>5</v>
      </c>
      <c r="AM71" s="5" t="n">
        <f aca="false">SUM(AG71:AL71)</f>
        <v>33</v>
      </c>
      <c r="AN71" s="5" t="str">
        <f aca="false">IF(AM71&gt;=80,"A",IF(AM71&gt;=60,"B","C"))</f>
        <v>C</v>
      </c>
      <c r="AO71" s="4"/>
      <c r="AP71" s="4" t="s">
        <v>610</v>
      </c>
      <c r="AQ71" s="2" t="s">
        <v>66</v>
      </c>
    </row>
    <row r="72" customFormat="false" ht="74.6" hidden="false" customHeight="false" outlineLevel="0" collapsed="false">
      <c r="A72" s="2" t="s">
        <v>611</v>
      </c>
      <c r="B72" s="2" t="s">
        <v>612</v>
      </c>
      <c r="C72" s="2"/>
      <c r="D72" s="2" t="s">
        <v>45</v>
      </c>
      <c r="E72" s="2" t="s">
        <v>613</v>
      </c>
      <c r="F72" s="2" t="s">
        <v>614</v>
      </c>
      <c r="G72" s="3" t="s">
        <v>47</v>
      </c>
      <c r="H72" s="2" t="n">
        <v>26.3171517777392</v>
      </c>
      <c r="I72" s="2" t="n">
        <v>50.2198147773743</v>
      </c>
      <c r="J72" s="2" t="s">
        <v>119</v>
      </c>
      <c r="K72" s="2" t="s">
        <v>49</v>
      </c>
      <c r="L72" s="2" t="s">
        <v>615</v>
      </c>
      <c r="M72" s="2"/>
      <c r="N72" s="2"/>
      <c r="O72" s="4"/>
      <c r="P72" s="4" t="s">
        <v>616</v>
      </c>
      <c r="Q72" s="2"/>
      <c r="R72" s="2"/>
      <c r="S72" s="2"/>
      <c r="T72" s="2"/>
      <c r="U72" s="2"/>
      <c r="V72" s="2"/>
      <c r="W72" s="2"/>
      <c r="X72" s="2"/>
      <c r="Y72" s="2"/>
      <c r="Z72" s="2"/>
      <c r="AA72" s="2"/>
      <c r="AB72" s="2"/>
      <c r="AC72" s="2" t="s">
        <v>77</v>
      </c>
      <c r="AD72" s="2"/>
      <c r="AE72" s="2" t="s">
        <v>153</v>
      </c>
      <c r="AF72" s="2" t="s">
        <v>241</v>
      </c>
      <c r="AG72" s="2" t="n">
        <v>0</v>
      </c>
      <c r="AH72" s="2" t="n">
        <v>13</v>
      </c>
      <c r="AI72" s="2" t="n">
        <v>20</v>
      </c>
      <c r="AJ72" s="2" t="n">
        <v>0</v>
      </c>
      <c r="AK72" s="2" t="n">
        <v>0</v>
      </c>
      <c r="AL72" s="2" t="n">
        <v>10</v>
      </c>
      <c r="AM72" s="5" t="n">
        <f aca="false">SUM(AG72:AL72)</f>
        <v>43</v>
      </c>
      <c r="AN72" s="5" t="str">
        <f aca="false">IF(AM72&gt;=80,"A",IF(AM72&gt;=60,"B","C"))</f>
        <v>C</v>
      </c>
      <c r="AO72" s="4"/>
      <c r="AP72" s="4" t="s">
        <v>617</v>
      </c>
      <c r="AQ72" s="2" t="s">
        <v>66</v>
      </c>
    </row>
    <row r="73" customFormat="false" ht="74.6" hidden="false" customHeight="false" outlineLevel="0" collapsed="false">
      <c r="A73" s="2" t="s">
        <v>618</v>
      </c>
      <c r="B73" s="2" t="s">
        <v>619</v>
      </c>
      <c r="C73" s="2"/>
      <c r="D73" s="2" t="s">
        <v>45</v>
      </c>
      <c r="E73" s="2" t="s">
        <v>620</v>
      </c>
      <c r="F73" s="2" t="s">
        <v>621</v>
      </c>
      <c r="G73" s="3" t="s">
        <v>47</v>
      </c>
      <c r="H73" s="2" t="n">
        <v>26.3663410402545</v>
      </c>
      <c r="I73" s="2" t="n">
        <v>50.2061462402344</v>
      </c>
      <c r="J73" s="2" t="s">
        <v>119</v>
      </c>
      <c r="K73" s="2" t="s">
        <v>49</v>
      </c>
      <c r="L73" s="2" t="s">
        <v>50</v>
      </c>
      <c r="M73" s="2"/>
      <c r="N73" s="2"/>
      <c r="O73" s="4"/>
      <c r="P73" s="4" t="s">
        <v>622</v>
      </c>
      <c r="Q73" s="2"/>
      <c r="R73" s="2"/>
      <c r="S73" s="2"/>
      <c r="T73" s="2"/>
      <c r="U73" s="2"/>
      <c r="V73" s="2"/>
      <c r="W73" s="2"/>
      <c r="X73" s="2"/>
      <c r="Y73" s="2"/>
      <c r="Z73" s="2"/>
      <c r="AA73" s="2"/>
      <c r="AB73" s="2"/>
      <c r="AC73" s="2" t="s">
        <v>77</v>
      </c>
      <c r="AD73" s="2"/>
      <c r="AE73" s="2" t="s">
        <v>153</v>
      </c>
      <c r="AF73" s="2" t="s">
        <v>241</v>
      </c>
      <c r="AG73" s="2" t="n">
        <v>0</v>
      </c>
      <c r="AH73" s="2" t="n">
        <v>8</v>
      </c>
      <c r="AI73" s="2" t="n">
        <v>20</v>
      </c>
      <c r="AJ73" s="2" t="n">
        <v>0</v>
      </c>
      <c r="AK73" s="2" t="n">
        <v>0</v>
      </c>
      <c r="AL73" s="2" t="n">
        <v>5</v>
      </c>
      <c r="AM73" s="5" t="n">
        <f aca="false">SUM(AG73:AL73)</f>
        <v>33</v>
      </c>
      <c r="AN73" s="5" t="str">
        <f aca="false">IF(AM73&gt;=80,"A",IF(AM73&gt;=60,"B","C"))</f>
        <v>C</v>
      </c>
      <c r="AO73" s="4" t="s">
        <v>623</v>
      </c>
      <c r="AP73" s="4" t="s">
        <v>624</v>
      </c>
      <c r="AQ73" s="2" t="s">
        <v>66</v>
      </c>
    </row>
    <row r="74" customFormat="false" ht="74.6" hidden="false" customHeight="false" outlineLevel="0" collapsed="false">
      <c r="A74" s="2" t="s">
        <v>625</v>
      </c>
      <c r="B74" s="2" t="s">
        <v>626</v>
      </c>
      <c r="C74" s="2"/>
      <c r="D74" s="2" t="s">
        <v>347</v>
      </c>
      <c r="E74" s="2" t="s">
        <v>627</v>
      </c>
      <c r="F74" s="2" t="s">
        <v>628</v>
      </c>
      <c r="G74" s="3" t="s">
        <v>47</v>
      </c>
      <c r="H74" s="2" t="n">
        <v>26.3416913339346</v>
      </c>
      <c r="I74" s="2" t="n">
        <v>50.1510000228882</v>
      </c>
      <c r="J74" s="2" t="s">
        <v>119</v>
      </c>
      <c r="K74" s="2" t="s">
        <v>49</v>
      </c>
      <c r="L74" s="2" t="s">
        <v>50</v>
      </c>
      <c r="M74" s="2"/>
      <c r="N74" s="2"/>
      <c r="O74" s="4"/>
      <c r="P74" s="4" t="s">
        <v>629</v>
      </c>
      <c r="Q74" s="2"/>
      <c r="R74" s="2"/>
      <c r="S74" s="2"/>
      <c r="T74" s="2"/>
      <c r="U74" s="2"/>
      <c r="V74" s="2"/>
      <c r="W74" s="2"/>
      <c r="X74" s="2"/>
      <c r="Y74" s="2"/>
      <c r="Z74" s="2"/>
      <c r="AA74" s="2"/>
      <c r="AB74" s="2"/>
      <c r="AC74" s="2" t="s">
        <v>77</v>
      </c>
      <c r="AD74" s="2"/>
      <c r="AE74" s="2" t="s">
        <v>153</v>
      </c>
      <c r="AF74" s="2" t="s">
        <v>241</v>
      </c>
      <c r="AG74" s="2" t="n">
        <v>0</v>
      </c>
      <c r="AH74" s="2" t="n">
        <v>8</v>
      </c>
      <c r="AI74" s="2" t="n">
        <v>20</v>
      </c>
      <c r="AJ74" s="2" t="n">
        <v>0</v>
      </c>
      <c r="AK74" s="2" t="n">
        <v>0</v>
      </c>
      <c r="AL74" s="2" t="n">
        <v>5</v>
      </c>
      <c r="AM74" s="5" t="n">
        <f aca="false">SUM(AG74:AL74)</f>
        <v>33</v>
      </c>
      <c r="AN74" s="5" t="str">
        <f aca="false">IF(AM74&gt;=80,"A",IF(AM74&gt;=60,"B","C"))</f>
        <v>C</v>
      </c>
      <c r="AO74" s="4"/>
      <c r="AP74" s="4" t="s">
        <v>630</v>
      </c>
      <c r="AQ74" s="2" t="s">
        <v>66</v>
      </c>
    </row>
    <row r="75" customFormat="false" ht="22.35" hidden="false" customHeight="false" outlineLevel="0" collapsed="false">
      <c r="A75" s="2" t="s">
        <v>631</v>
      </c>
      <c r="B75" s="2" t="s">
        <v>632</v>
      </c>
      <c r="C75" s="2"/>
      <c r="D75" s="2" t="s">
        <v>45</v>
      </c>
      <c r="E75" s="2" t="s">
        <v>633</v>
      </c>
      <c r="F75" s="2" t="s">
        <v>634</v>
      </c>
      <c r="G75" s="3" t="s">
        <v>47</v>
      </c>
      <c r="H75" s="2" t="n">
        <v>26.338672249109</v>
      </c>
      <c r="I75" s="2" t="n">
        <v>50.2061676979065</v>
      </c>
      <c r="J75" s="2" t="s">
        <v>119</v>
      </c>
      <c r="K75" s="2" t="s">
        <v>49</v>
      </c>
      <c r="L75" s="2" t="s">
        <v>50</v>
      </c>
      <c r="M75" s="2"/>
      <c r="N75" s="2"/>
      <c r="O75" s="4"/>
      <c r="P75" s="4" t="s">
        <v>635</v>
      </c>
      <c r="Q75" s="2"/>
      <c r="R75" s="2"/>
      <c r="S75" s="2"/>
      <c r="T75" s="2"/>
      <c r="U75" s="2"/>
      <c r="V75" s="2"/>
      <c r="W75" s="2"/>
      <c r="X75" s="2"/>
      <c r="Y75" s="2"/>
      <c r="Z75" s="2"/>
      <c r="AA75" s="2"/>
      <c r="AB75" s="2"/>
      <c r="AC75" s="2" t="s">
        <v>77</v>
      </c>
      <c r="AD75" s="2"/>
      <c r="AE75" s="2" t="s">
        <v>153</v>
      </c>
      <c r="AF75" s="2" t="s">
        <v>241</v>
      </c>
      <c r="AG75" s="2" t="n">
        <v>0</v>
      </c>
      <c r="AH75" s="2" t="n">
        <v>8</v>
      </c>
      <c r="AI75" s="2" t="n">
        <v>20</v>
      </c>
      <c r="AJ75" s="2" t="n">
        <v>0</v>
      </c>
      <c r="AK75" s="2" t="n">
        <v>0</v>
      </c>
      <c r="AL75" s="2" t="n">
        <v>5</v>
      </c>
      <c r="AM75" s="5" t="n">
        <f aca="false">SUM(AG75:AL75)</f>
        <v>33</v>
      </c>
      <c r="AN75" s="5" t="str">
        <f aca="false">IF(AM75&gt;=80,"A",IF(AM75&gt;=60,"B","C"))</f>
        <v>C</v>
      </c>
      <c r="AO75" s="4"/>
      <c r="AP75" s="4" t="s">
        <v>636</v>
      </c>
      <c r="AQ75" s="2" t="s">
        <v>66</v>
      </c>
    </row>
    <row r="76" customFormat="false" ht="22.35" hidden="false" customHeight="false" outlineLevel="0" collapsed="false">
      <c r="A76" s="2" t="s">
        <v>637</v>
      </c>
      <c r="B76" s="2" t="s">
        <v>638</v>
      </c>
      <c r="C76" s="2"/>
      <c r="D76" s="2" t="s">
        <v>45</v>
      </c>
      <c r="E76" s="2" t="s">
        <v>488</v>
      </c>
      <c r="F76" s="2" t="s">
        <v>488</v>
      </c>
      <c r="G76" s="3" t="s">
        <v>47</v>
      </c>
      <c r="H76" s="2" t="n">
        <v>26.3453794415196</v>
      </c>
      <c r="I76" s="2" t="n">
        <v>50.2009697047508</v>
      </c>
      <c r="J76" s="2" t="s">
        <v>48</v>
      </c>
      <c r="K76" s="2" t="s">
        <v>49</v>
      </c>
      <c r="L76" s="2" t="s">
        <v>50</v>
      </c>
      <c r="M76" s="2"/>
      <c r="N76" s="2"/>
      <c r="O76" s="4" t="s">
        <v>376</v>
      </c>
      <c r="P76" s="4" t="s">
        <v>639</v>
      </c>
      <c r="Q76" s="2"/>
      <c r="R76" s="2"/>
      <c r="S76" s="2"/>
      <c r="T76" s="2"/>
      <c r="U76" s="2"/>
      <c r="V76" s="2"/>
      <c r="W76" s="2"/>
      <c r="X76" s="2"/>
      <c r="Y76" s="2"/>
      <c r="Z76" s="2"/>
      <c r="AA76" s="2"/>
      <c r="AB76" s="2"/>
      <c r="AC76" s="2" t="s">
        <v>77</v>
      </c>
      <c r="AD76" s="2"/>
      <c r="AE76" s="2" t="s">
        <v>153</v>
      </c>
      <c r="AF76" s="2" t="s">
        <v>241</v>
      </c>
      <c r="AG76" s="2" t="n">
        <v>0</v>
      </c>
      <c r="AH76" s="2" t="n">
        <v>8</v>
      </c>
      <c r="AI76" s="2" t="n">
        <v>20</v>
      </c>
      <c r="AJ76" s="2" t="n">
        <v>0</v>
      </c>
      <c r="AK76" s="2" t="n">
        <v>0</v>
      </c>
      <c r="AL76" s="2" t="n">
        <v>5</v>
      </c>
      <c r="AM76" s="5" t="n">
        <f aca="false">SUM(AG76:AL76)</f>
        <v>33</v>
      </c>
      <c r="AN76" s="5" t="str">
        <f aca="false">IF(AM76&gt;=80,"A",IF(AM76&gt;=60,"B","C"))</f>
        <v>C</v>
      </c>
      <c r="AO76" s="4"/>
      <c r="AP76" s="4" t="s">
        <v>640</v>
      </c>
      <c r="AQ76" s="2" t="s">
        <v>66</v>
      </c>
    </row>
    <row r="77" customFormat="false" ht="74.6" hidden="false" customHeight="false" outlineLevel="0" collapsed="false">
      <c r="A77" s="2" t="s">
        <v>641</v>
      </c>
      <c r="B77" s="2" t="s">
        <v>642</v>
      </c>
      <c r="C77" s="2"/>
      <c r="D77" s="2" t="s">
        <v>45</v>
      </c>
      <c r="E77" s="2" t="s">
        <v>643</v>
      </c>
      <c r="F77" s="2" t="s">
        <v>644</v>
      </c>
      <c r="G77" s="3" t="s">
        <v>47</v>
      </c>
      <c r="H77" s="2" t="n">
        <v>26.3548147839634</v>
      </c>
      <c r="I77" s="2" t="n">
        <v>50.2104216814041</v>
      </c>
      <c r="J77" s="2" t="s">
        <v>119</v>
      </c>
      <c r="K77" s="2" t="s">
        <v>49</v>
      </c>
      <c r="L77" s="2" t="s">
        <v>50</v>
      </c>
      <c r="M77" s="2"/>
      <c r="N77" s="2"/>
      <c r="O77" s="4"/>
      <c r="P77" s="4" t="s">
        <v>645</v>
      </c>
      <c r="Q77" s="2"/>
      <c r="R77" s="2"/>
      <c r="S77" s="2"/>
      <c r="T77" s="2"/>
      <c r="U77" s="2"/>
      <c r="V77" s="2"/>
      <c r="W77" s="2"/>
      <c r="X77" s="2"/>
      <c r="Y77" s="2"/>
      <c r="Z77" s="2"/>
      <c r="AA77" s="2"/>
      <c r="AB77" s="2"/>
      <c r="AC77" s="2" t="s">
        <v>77</v>
      </c>
      <c r="AD77" s="2"/>
      <c r="AE77" s="2" t="s">
        <v>153</v>
      </c>
      <c r="AF77" s="2" t="s">
        <v>241</v>
      </c>
      <c r="AG77" s="2" t="n">
        <v>0</v>
      </c>
      <c r="AH77" s="2" t="n">
        <v>8</v>
      </c>
      <c r="AI77" s="2" t="n">
        <v>20</v>
      </c>
      <c r="AJ77" s="2" t="n">
        <v>0</v>
      </c>
      <c r="AK77" s="2" t="n">
        <v>0</v>
      </c>
      <c r="AL77" s="2" t="n">
        <v>5</v>
      </c>
      <c r="AM77" s="5" t="n">
        <f aca="false">SUM(AG77:AL77)</f>
        <v>33</v>
      </c>
      <c r="AN77" s="5" t="str">
        <f aca="false">IF(AM77&gt;=80,"A",IF(AM77&gt;=60,"B","C"))</f>
        <v>C</v>
      </c>
      <c r="AO77" s="4"/>
      <c r="AP77" s="4" t="s">
        <v>646</v>
      </c>
      <c r="AQ77" s="2" t="s">
        <v>66</v>
      </c>
    </row>
    <row r="78" customFormat="false" ht="32.8" hidden="false" customHeight="false" outlineLevel="0" collapsed="false">
      <c r="A78" s="2" t="s">
        <v>647</v>
      </c>
      <c r="B78" s="2" t="s">
        <v>648</v>
      </c>
      <c r="C78" s="2"/>
      <c r="D78" s="2" t="s">
        <v>45</v>
      </c>
      <c r="E78" s="2" t="s">
        <v>649</v>
      </c>
      <c r="F78" s="2" t="s">
        <v>650</v>
      </c>
      <c r="G78" s="3" t="s">
        <v>47</v>
      </c>
      <c r="H78" s="2" t="n">
        <v>26.3593619764321</v>
      </c>
      <c r="I78" s="2" t="n">
        <v>50.1957607269287</v>
      </c>
      <c r="J78" s="2" t="s">
        <v>48</v>
      </c>
      <c r="K78" s="2" t="s">
        <v>49</v>
      </c>
      <c r="L78" s="2" t="s">
        <v>50</v>
      </c>
      <c r="M78" s="2"/>
      <c r="N78" s="2" t="n">
        <v>11</v>
      </c>
      <c r="O78" s="4"/>
      <c r="P78" s="4" t="s">
        <v>651</v>
      </c>
      <c r="Q78" s="2"/>
      <c r="R78" s="2"/>
      <c r="S78" s="2"/>
      <c r="T78" s="2"/>
      <c r="U78" s="2"/>
      <c r="V78" s="2"/>
      <c r="W78" s="2"/>
      <c r="X78" s="2"/>
      <c r="Y78" s="2"/>
      <c r="Z78" s="2"/>
      <c r="AA78" s="2"/>
      <c r="AB78" s="2"/>
      <c r="AC78" s="2" t="s">
        <v>77</v>
      </c>
      <c r="AD78" s="2"/>
      <c r="AE78" s="2" t="s">
        <v>153</v>
      </c>
      <c r="AF78" s="2" t="s">
        <v>241</v>
      </c>
      <c r="AG78" s="2" t="n">
        <v>5</v>
      </c>
      <c r="AH78" s="2" t="n">
        <v>8</v>
      </c>
      <c r="AI78" s="2" t="n">
        <v>20</v>
      </c>
      <c r="AJ78" s="2" t="n">
        <v>0</v>
      </c>
      <c r="AK78" s="2" t="n">
        <v>0</v>
      </c>
      <c r="AL78" s="2" t="n">
        <v>5</v>
      </c>
      <c r="AM78" s="5" t="n">
        <f aca="false">SUM(AG78:AL78)</f>
        <v>38</v>
      </c>
      <c r="AN78" s="5" t="str">
        <f aca="false">IF(AM78&gt;=80,"A",IF(AM78&gt;=60,"B","C"))</f>
        <v>C</v>
      </c>
      <c r="AO78" s="4"/>
      <c r="AP78" s="4" t="s">
        <v>652</v>
      </c>
      <c r="AQ78" s="2" t="s">
        <v>66</v>
      </c>
    </row>
    <row r="79" customFormat="false" ht="74.6" hidden="false" customHeight="false" outlineLevel="0" collapsed="false">
      <c r="A79" s="2" t="s">
        <v>653</v>
      </c>
      <c r="B79" s="2" t="s">
        <v>654</v>
      </c>
      <c r="C79" s="2"/>
      <c r="D79" s="2" t="s">
        <v>45</v>
      </c>
      <c r="E79" s="2" t="s">
        <v>655</v>
      </c>
      <c r="F79" s="2" t="s">
        <v>656</v>
      </c>
      <c r="G79" s="3" t="s">
        <v>47</v>
      </c>
      <c r="H79" s="2" t="n">
        <v>26.3704359972567</v>
      </c>
      <c r="I79" s="2" t="n">
        <v>50.1716530323029</v>
      </c>
      <c r="J79" s="2" t="s">
        <v>571</v>
      </c>
      <c r="K79" s="2" t="s">
        <v>49</v>
      </c>
      <c r="L79" s="2" t="s">
        <v>50</v>
      </c>
      <c r="M79" s="2"/>
      <c r="N79" s="2"/>
      <c r="O79" s="4"/>
      <c r="P79" s="4" t="s">
        <v>657</v>
      </c>
      <c r="Q79" s="2"/>
      <c r="R79" s="2"/>
      <c r="S79" s="2"/>
      <c r="T79" s="2"/>
      <c r="U79" s="2"/>
      <c r="V79" s="2"/>
      <c r="W79" s="2"/>
      <c r="X79" s="2"/>
      <c r="Y79" s="2"/>
      <c r="Z79" s="2"/>
      <c r="AA79" s="2"/>
      <c r="AB79" s="2"/>
      <c r="AC79" s="2" t="s">
        <v>77</v>
      </c>
      <c r="AD79" s="2"/>
      <c r="AE79" s="2" t="s">
        <v>153</v>
      </c>
      <c r="AF79" s="2" t="s">
        <v>241</v>
      </c>
      <c r="AG79" s="2" t="n">
        <v>0</v>
      </c>
      <c r="AH79" s="2" t="n">
        <v>8</v>
      </c>
      <c r="AI79" s="2" t="n">
        <v>20</v>
      </c>
      <c r="AJ79" s="2" t="n">
        <v>0</v>
      </c>
      <c r="AK79" s="2" t="n">
        <v>0</v>
      </c>
      <c r="AL79" s="2" t="n">
        <v>5</v>
      </c>
      <c r="AM79" s="5" t="n">
        <f aca="false">SUM(AG79:AL79)</f>
        <v>33</v>
      </c>
      <c r="AN79" s="5" t="str">
        <f aca="false">IF(AM79&gt;=80,"A",IF(AM79&gt;=60,"B","C"))</f>
        <v>C</v>
      </c>
      <c r="AO79" s="4" t="s">
        <v>658</v>
      </c>
      <c r="AP79" s="4" t="s">
        <v>659</v>
      </c>
      <c r="AQ79" s="2" t="s">
        <v>66</v>
      </c>
    </row>
    <row r="80" customFormat="false" ht="74.6" hidden="false" customHeight="false" outlineLevel="0" collapsed="false">
      <c r="A80" s="2" t="s">
        <v>660</v>
      </c>
      <c r="B80" s="2" t="s">
        <v>661</v>
      </c>
      <c r="C80" s="2"/>
      <c r="D80" s="2" t="s">
        <v>45</v>
      </c>
      <c r="E80" s="2" t="s">
        <v>662</v>
      </c>
      <c r="F80" s="2" t="s">
        <v>663</v>
      </c>
      <c r="G80" s="3" t="s">
        <v>47</v>
      </c>
      <c r="H80" s="2" t="n">
        <v>26.2829334096228</v>
      </c>
      <c r="I80" s="2" t="n">
        <v>50.2220031921387</v>
      </c>
      <c r="J80" s="2" t="s">
        <v>277</v>
      </c>
      <c r="K80" s="2" t="s">
        <v>664</v>
      </c>
      <c r="L80" s="2" t="s">
        <v>50</v>
      </c>
      <c r="M80" s="2"/>
      <c r="N80" s="2"/>
      <c r="O80" s="4"/>
      <c r="P80" s="4" t="s">
        <v>665</v>
      </c>
      <c r="Q80" s="2"/>
      <c r="R80" s="2"/>
      <c r="S80" s="2"/>
      <c r="T80" s="2"/>
      <c r="U80" s="2"/>
      <c r="V80" s="2"/>
      <c r="W80" s="2"/>
      <c r="X80" s="2"/>
      <c r="Y80" s="2"/>
      <c r="Z80" s="2"/>
      <c r="AA80" s="2"/>
      <c r="AB80" s="2"/>
      <c r="AC80" s="2" t="s">
        <v>77</v>
      </c>
      <c r="AD80" s="2"/>
      <c r="AE80" s="2" t="s">
        <v>153</v>
      </c>
      <c r="AF80" s="2" t="s">
        <v>241</v>
      </c>
      <c r="AG80" s="2" t="n">
        <v>0</v>
      </c>
      <c r="AH80" s="2" t="n">
        <v>8</v>
      </c>
      <c r="AI80" s="2" t="n">
        <v>20</v>
      </c>
      <c r="AJ80" s="2" t="n">
        <v>0</v>
      </c>
      <c r="AK80" s="2" t="n">
        <v>0</v>
      </c>
      <c r="AL80" s="2" t="n">
        <v>5</v>
      </c>
      <c r="AM80" s="5" t="n">
        <f aca="false">SUM(AG80:AL80)</f>
        <v>33</v>
      </c>
      <c r="AN80" s="5" t="str">
        <f aca="false">IF(AM80&gt;=80,"A",IF(AM80&gt;=60,"B","C"))</f>
        <v>C</v>
      </c>
      <c r="AO80" s="4" t="s">
        <v>666</v>
      </c>
      <c r="AP80" s="4" t="s">
        <v>667</v>
      </c>
      <c r="AQ80" s="2" t="s">
        <v>66</v>
      </c>
    </row>
    <row r="81" customFormat="false" ht="53.7" hidden="false" customHeight="false" outlineLevel="0" collapsed="false">
      <c r="A81" s="2" t="s">
        <v>668</v>
      </c>
      <c r="B81" s="2" t="s">
        <v>669</v>
      </c>
      <c r="C81" s="2"/>
      <c r="D81" s="2" t="s">
        <v>45</v>
      </c>
      <c r="E81" s="2" t="s">
        <v>670</v>
      </c>
      <c r="F81" s="2"/>
      <c r="G81" s="2"/>
      <c r="H81" s="2"/>
      <c r="I81" s="2"/>
      <c r="J81" s="2" t="s">
        <v>48</v>
      </c>
      <c r="K81" s="2" t="s">
        <v>49</v>
      </c>
      <c r="L81" s="2" t="s">
        <v>77</v>
      </c>
      <c r="M81" s="2"/>
      <c r="N81" s="2" t="n">
        <v>60</v>
      </c>
      <c r="O81" s="4" t="s">
        <v>671</v>
      </c>
      <c r="P81" s="4"/>
      <c r="Q81" s="2"/>
      <c r="R81" s="2"/>
      <c r="S81" s="2"/>
      <c r="T81" s="2"/>
      <c r="U81" s="2"/>
      <c r="V81" s="2"/>
      <c r="W81" s="2"/>
      <c r="X81" s="2"/>
      <c r="Y81" s="2"/>
      <c r="Z81" s="2"/>
      <c r="AA81" s="2"/>
      <c r="AB81" s="2"/>
      <c r="AC81" s="2" t="s">
        <v>77</v>
      </c>
      <c r="AD81" s="2"/>
      <c r="AE81" s="2" t="s">
        <v>153</v>
      </c>
      <c r="AF81" s="2" t="s">
        <v>241</v>
      </c>
      <c r="AG81" s="2" t="n">
        <v>10</v>
      </c>
      <c r="AH81" s="2" t="n">
        <v>8</v>
      </c>
      <c r="AI81" s="2" t="n">
        <v>14</v>
      </c>
      <c r="AJ81" s="2" t="n">
        <v>0</v>
      </c>
      <c r="AK81" s="2" t="n">
        <v>0</v>
      </c>
      <c r="AL81" s="2" t="n">
        <v>0</v>
      </c>
      <c r="AM81" s="5" t="n">
        <f aca="false">SUM(AG81:AL81)</f>
        <v>32</v>
      </c>
      <c r="AN81" s="5" t="str">
        <f aca="false">IF(AM81&gt;=80,"A",IF(AM81&gt;=60,"B","C"))</f>
        <v>C</v>
      </c>
      <c r="AO81" s="4"/>
      <c r="AP81" s="4" t="s">
        <v>672</v>
      </c>
      <c r="AQ81" s="2" t="s">
        <v>66</v>
      </c>
    </row>
    <row r="82" customFormat="false" ht="32.8" hidden="false" customHeight="false" outlineLevel="0" collapsed="false">
      <c r="A82" s="2" t="s">
        <v>673</v>
      </c>
      <c r="B82" s="2" t="s">
        <v>674</v>
      </c>
      <c r="C82" s="2"/>
      <c r="D82" s="2" t="s">
        <v>45</v>
      </c>
      <c r="E82" s="2"/>
      <c r="F82" s="2"/>
      <c r="G82" s="2"/>
      <c r="H82" s="2"/>
      <c r="I82" s="2"/>
      <c r="J82" s="2" t="s">
        <v>48</v>
      </c>
      <c r="K82" s="2" t="s">
        <v>49</v>
      </c>
      <c r="L82" s="2" t="s">
        <v>77</v>
      </c>
      <c r="M82" s="2"/>
      <c r="N82" s="2"/>
      <c r="O82" s="4"/>
      <c r="P82" s="4"/>
      <c r="Q82" s="2"/>
      <c r="R82" s="2"/>
      <c r="S82" s="2"/>
      <c r="T82" s="2"/>
      <c r="U82" s="2"/>
      <c r="V82" s="2"/>
      <c r="W82" s="2"/>
      <c r="X82" s="2"/>
      <c r="Y82" s="2"/>
      <c r="Z82" s="2"/>
      <c r="AA82" s="2"/>
      <c r="AB82" s="2"/>
      <c r="AC82" s="2" t="s">
        <v>77</v>
      </c>
      <c r="AD82" s="2"/>
      <c r="AE82" s="2" t="s">
        <v>153</v>
      </c>
      <c r="AF82" s="2" t="s">
        <v>241</v>
      </c>
      <c r="AG82" s="2" t="n">
        <v>0</v>
      </c>
      <c r="AH82" s="2" t="n">
        <v>8</v>
      </c>
      <c r="AI82" s="2" t="n">
        <v>14</v>
      </c>
      <c r="AJ82" s="2" t="n">
        <v>0</v>
      </c>
      <c r="AK82" s="2" t="n">
        <v>0</v>
      </c>
      <c r="AL82" s="2" t="n">
        <v>0</v>
      </c>
      <c r="AM82" s="5" t="n">
        <f aca="false">SUM(AG82:AL82)</f>
        <v>22</v>
      </c>
      <c r="AN82" s="5" t="str">
        <f aca="false">IF(AM82&gt;=80,"A",IF(AM82&gt;=60,"B","C"))</f>
        <v>C</v>
      </c>
      <c r="AO82" s="4" t="s">
        <v>675</v>
      </c>
      <c r="AP82" s="4" t="s">
        <v>434</v>
      </c>
      <c r="AQ82" s="2" t="s">
        <v>66</v>
      </c>
    </row>
    <row r="83" customFormat="false" ht="32.8" hidden="false" customHeight="false" outlineLevel="0" collapsed="false">
      <c r="A83" s="2" t="s">
        <v>676</v>
      </c>
      <c r="B83" s="2" t="s">
        <v>677</v>
      </c>
      <c r="C83" s="2"/>
      <c r="D83" s="2" t="s">
        <v>45</v>
      </c>
      <c r="E83" s="2"/>
      <c r="F83" s="2"/>
      <c r="G83" s="2"/>
      <c r="H83" s="2"/>
      <c r="I83" s="2"/>
      <c r="J83" s="2" t="s">
        <v>357</v>
      </c>
      <c r="K83" s="2" t="s">
        <v>49</v>
      </c>
      <c r="L83" s="2" t="s">
        <v>77</v>
      </c>
      <c r="M83" s="2"/>
      <c r="N83" s="2"/>
      <c r="O83" s="4"/>
      <c r="P83" s="4"/>
      <c r="Q83" s="2"/>
      <c r="R83" s="2"/>
      <c r="S83" s="2"/>
      <c r="T83" s="2"/>
      <c r="U83" s="2"/>
      <c r="V83" s="2"/>
      <c r="W83" s="2"/>
      <c r="X83" s="2"/>
      <c r="Y83" s="2"/>
      <c r="Z83" s="2"/>
      <c r="AA83" s="2"/>
      <c r="AB83" s="2"/>
      <c r="AC83" s="2" t="s">
        <v>77</v>
      </c>
      <c r="AD83" s="2"/>
      <c r="AE83" s="2" t="s">
        <v>153</v>
      </c>
      <c r="AF83" s="2" t="s">
        <v>241</v>
      </c>
      <c r="AG83" s="2" t="n">
        <v>0</v>
      </c>
      <c r="AH83" s="2" t="n">
        <v>8</v>
      </c>
      <c r="AI83" s="2" t="n">
        <v>14</v>
      </c>
      <c r="AJ83" s="2" t="n">
        <v>0</v>
      </c>
      <c r="AK83" s="2" t="n">
        <v>0</v>
      </c>
      <c r="AL83" s="2" t="n">
        <v>0</v>
      </c>
      <c r="AM83" s="5" t="n">
        <f aca="false">SUM(AG83:AL83)</f>
        <v>22</v>
      </c>
      <c r="AN83" s="5" t="str">
        <f aca="false">IF(AM83&gt;=80,"A",IF(AM83&gt;=60,"B","C"))</f>
        <v>C</v>
      </c>
      <c r="AO83" s="4" t="s">
        <v>678</v>
      </c>
      <c r="AP83" s="4" t="s">
        <v>434</v>
      </c>
      <c r="AQ83" s="2" t="s">
        <v>66</v>
      </c>
    </row>
    <row r="84" customFormat="false" ht="32.8" hidden="false" customHeight="false" outlineLevel="0" collapsed="false">
      <c r="A84" s="2" t="s">
        <v>679</v>
      </c>
      <c r="B84" s="2" t="s">
        <v>680</v>
      </c>
      <c r="C84" s="2"/>
      <c r="D84" s="2" t="s">
        <v>45</v>
      </c>
      <c r="E84" s="2"/>
      <c r="F84" s="2"/>
      <c r="G84" s="2"/>
      <c r="H84" s="2"/>
      <c r="I84" s="2"/>
      <c r="J84" s="2" t="s">
        <v>681</v>
      </c>
      <c r="K84" s="2" t="s">
        <v>49</v>
      </c>
      <c r="L84" s="2" t="s">
        <v>77</v>
      </c>
      <c r="M84" s="2"/>
      <c r="N84" s="2"/>
      <c r="O84" s="4"/>
      <c r="P84" s="4"/>
      <c r="Q84" s="2"/>
      <c r="R84" s="2"/>
      <c r="S84" s="2"/>
      <c r="T84" s="2"/>
      <c r="U84" s="2"/>
      <c r="V84" s="2"/>
      <c r="W84" s="2"/>
      <c r="X84" s="2"/>
      <c r="Y84" s="2"/>
      <c r="Z84" s="2"/>
      <c r="AA84" s="2"/>
      <c r="AB84" s="2"/>
      <c r="AC84" s="2" t="s">
        <v>77</v>
      </c>
      <c r="AD84" s="2"/>
      <c r="AE84" s="2" t="s">
        <v>153</v>
      </c>
      <c r="AF84" s="2" t="s">
        <v>154</v>
      </c>
      <c r="AG84" s="2" t="n">
        <v>0</v>
      </c>
      <c r="AH84" s="2" t="n">
        <v>8</v>
      </c>
      <c r="AI84" s="2" t="n">
        <v>14</v>
      </c>
      <c r="AJ84" s="2" t="n">
        <v>0</v>
      </c>
      <c r="AK84" s="2" t="n">
        <v>0</v>
      </c>
      <c r="AL84" s="2" t="n">
        <v>0</v>
      </c>
      <c r="AM84" s="5" t="n">
        <f aca="false">SUM(AG84:AL84)</f>
        <v>22</v>
      </c>
      <c r="AN84" s="5" t="str">
        <f aca="false">IF(AM84&gt;=80,"A",IF(AM84&gt;=60,"B","C"))</f>
        <v>C</v>
      </c>
      <c r="AO84" s="4" t="s">
        <v>682</v>
      </c>
      <c r="AP84" s="4" t="s">
        <v>683</v>
      </c>
      <c r="AQ84" s="2" t="s">
        <v>66</v>
      </c>
    </row>
    <row r="85" customFormat="false" ht="22.35" hidden="false" customHeight="false" outlineLevel="0" collapsed="false">
      <c r="A85" s="2" t="s">
        <v>684</v>
      </c>
      <c r="B85" s="2" t="s">
        <v>685</v>
      </c>
      <c r="C85" s="2"/>
      <c r="D85" s="2" t="s">
        <v>45</v>
      </c>
      <c r="E85" s="2"/>
      <c r="F85" s="2"/>
      <c r="G85" s="2"/>
      <c r="H85" s="2"/>
      <c r="I85" s="2"/>
      <c r="J85" s="2" t="s">
        <v>277</v>
      </c>
      <c r="K85" s="2" t="s">
        <v>664</v>
      </c>
      <c r="L85" s="2" t="s">
        <v>77</v>
      </c>
      <c r="M85" s="2"/>
      <c r="N85" s="2"/>
      <c r="O85" s="4"/>
      <c r="P85" s="4"/>
      <c r="Q85" s="2"/>
      <c r="R85" s="2"/>
      <c r="S85" s="2"/>
      <c r="T85" s="2"/>
      <c r="U85" s="2"/>
      <c r="V85" s="2"/>
      <c r="W85" s="2"/>
      <c r="X85" s="2"/>
      <c r="Y85" s="2"/>
      <c r="Z85" s="2"/>
      <c r="AA85" s="2"/>
      <c r="AB85" s="2"/>
      <c r="AC85" s="2" t="s">
        <v>77</v>
      </c>
      <c r="AD85" s="2"/>
      <c r="AE85" s="2" t="s">
        <v>153</v>
      </c>
      <c r="AF85" s="2" t="s">
        <v>241</v>
      </c>
      <c r="AG85" s="2" t="n">
        <v>0</v>
      </c>
      <c r="AH85" s="2" t="n">
        <v>8</v>
      </c>
      <c r="AI85" s="2" t="n">
        <v>20</v>
      </c>
      <c r="AJ85" s="2" t="n">
        <v>0</v>
      </c>
      <c r="AK85" s="2" t="n">
        <v>0</v>
      </c>
      <c r="AL85" s="2" t="n">
        <v>0</v>
      </c>
      <c r="AM85" s="5" t="n">
        <f aca="false">SUM(AG85:AL85)</f>
        <v>28</v>
      </c>
      <c r="AN85" s="5" t="str">
        <f aca="false">IF(AM85&gt;=80,"A",IF(AM85&gt;=60,"B","C"))</f>
        <v>C</v>
      </c>
      <c r="AO85" s="4"/>
      <c r="AP85" s="4" t="s">
        <v>686</v>
      </c>
      <c r="AQ85" s="2" t="s">
        <v>66</v>
      </c>
    </row>
    <row r="86" customFormat="false" ht="22.35" hidden="false" customHeight="false" outlineLevel="0" collapsed="false">
      <c r="A86" s="2" t="s">
        <v>687</v>
      </c>
      <c r="B86" s="2" t="s">
        <v>688</v>
      </c>
      <c r="C86" s="2"/>
      <c r="D86" s="2" t="s">
        <v>45</v>
      </c>
      <c r="E86" s="2" t="s">
        <v>167</v>
      </c>
      <c r="F86" s="2"/>
      <c r="G86" s="2"/>
      <c r="H86" s="2"/>
      <c r="I86" s="2"/>
      <c r="J86" s="2" t="s">
        <v>277</v>
      </c>
      <c r="K86" s="2" t="s">
        <v>689</v>
      </c>
      <c r="L86" s="2" t="s">
        <v>77</v>
      </c>
      <c r="M86" s="2" t="s">
        <v>690</v>
      </c>
      <c r="N86" s="2"/>
      <c r="O86" s="4"/>
      <c r="P86" s="4"/>
      <c r="Q86" s="2"/>
      <c r="R86" s="2"/>
      <c r="S86" s="2"/>
      <c r="T86" s="2"/>
      <c r="U86" s="2"/>
      <c r="V86" s="2"/>
      <c r="W86" s="2"/>
      <c r="X86" s="2"/>
      <c r="Y86" s="2"/>
      <c r="Z86" s="2"/>
      <c r="AA86" s="2"/>
      <c r="AB86" s="2"/>
      <c r="AC86" s="2" t="s">
        <v>77</v>
      </c>
      <c r="AD86" s="2"/>
      <c r="AE86" s="2" t="s">
        <v>153</v>
      </c>
      <c r="AF86" s="2" t="s">
        <v>241</v>
      </c>
      <c r="AG86" s="2" t="n">
        <v>0</v>
      </c>
      <c r="AH86" s="2" t="n">
        <v>8</v>
      </c>
      <c r="AI86" s="2" t="n">
        <v>14</v>
      </c>
      <c r="AJ86" s="2" t="n">
        <v>0</v>
      </c>
      <c r="AK86" s="2" t="n">
        <v>0</v>
      </c>
      <c r="AL86" s="2" t="n">
        <v>10</v>
      </c>
      <c r="AM86" s="5" t="n">
        <f aca="false">SUM(AG86:AL86)</f>
        <v>32</v>
      </c>
      <c r="AN86" s="5" t="str">
        <f aca="false">IF(AM86&gt;=80,"A",IF(AM86&gt;=60,"B","C"))</f>
        <v>C</v>
      </c>
      <c r="AO86" s="4" t="s">
        <v>691</v>
      </c>
      <c r="AP86" s="4" t="s">
        <v>692</v>
      </c>
      <c r="AQ86" s="2" t="s">
        <v>66</v>
      </c>
    </row>
  </sheetData>
  <autoFilter ref="A1:AQ86"/>
  <hyperlinks>
    <hyperlink ref="G2" r:id="rId1" display="Open map"/>
    <hyperlink ref="Q2" r:id="rId2" display="https://www.canaryvillage.com/"/>
    <hyperlink ref="V2" r:id="rId3" display="https://www.instagram.com/canaryvillage"/>
    <hyperlink ref="W2" r:id="rId4" display="https://www.facebook.com/canary.canary.714"/>
    <hyperlink ref="AD2" r:id="rId5" display="https://rightcompound.com/compounds/khobar/canary-village"/>
    <hyperlink ref="Q3" r:id="rId6" display="https://canary-vista.com/"/>
    <hyperlink ref="V3" r:id="rId7" display="https://instagram.com/canaryvistacommunity"/>
    <hyperlink ref="W3" r:id="rId8" display="https://www.facebook.com/2070283359669619"/>
    <hyperlink ref="Q4" r:id="rId9" display="https://www.eurovillage.sa/"/>
    <hyperlink ref="V4" r:id="rId10" display="https://www.instagram.com/eurovillage_compound"/>
    <hyperlink ref="W4" r:id="rId11" display="https://www.facebook.com/EuroVillageSA"/>
    <hyperlink ref="X4" r:id="rId12" display="https://www.linkedin.com/company/eurovillage-compound"/>
    <hyperlink ref="Q5" r:id="rId13" display="https://www.lasdunas-sa.com/"/>
    <hyperlink ref="G6" r:id="rId14" display="Open map"/>
    <hyperlink ref="Q6" r:id="rId15" display="https://www.rivieracompound.com/"/>
    <hyperlink ref="V6" r:id="rId16" display="https://www.instagram.com/rivieracompound"/>
    <hyperlink ref="W6" r:id="rId17" display="https://www.facebook.com/Rivieracompoundsa"/>
    <hyperlink ref="X6" r:id="rId18" display="https://www.linkedin.com/showcase/rivieracompound"/>
    <hyperlink ref="G7" r:id="rId19" display="Open map"/>
    <hyperlink ref="Q7" r:id="rId20" display="https://www.al-othman.com/ar/al-mohamadia-compound"/>
    <hyperlink ref="V7" r:id="rId21" display="https://instagram.com/alothman.holding"/>
    <hyperlink ref="W7" r:id="rId22" display="https://www.facebook.com/pages/AlOthman-Holding/1492267767733144"/>
    <hyperlink ref="X7" r:id="rId23" display="https://www.linkedin.com/company/al--othman-holding-company"/>
    <hyperlink ref="AD7" r:id="rId24" display="https://rightcompound.com/compounds/khobar/mohamadia-compound"/>
    <hyperlink ref="G8" r:id="rId25" display="Open map"/>
    <hyperlink ref="Q8" r:id="rId26" display="https://zamilrealestate.com/en"/>
    <hyperlink ref="AD8" r:id="rId27" display="https://whichschooladvisor.com/saudi/area-guide/eastern-province/al-khobar"/>
    <hyperlink ref="G9" r:id="rId28" display="Open map"/>
    <hyperlink ref="G10" r:id="rId29" display="Open map"/>
    <hyperlink ref="G11" r:id="rId30" display="Open map"/>
    <hyperlink ref="Q11" r:id="rId31" display="https://www.retalresidence.com/"/>
    <hyperlink ref="Q12" r:id="rId32" display="https://www.grandvillage.com.sa/"/>
    <hyperlink ref="G13" r:id="rId33" display="Open map"/>
    <hyperlink ref="Q13" r:id="rId34" display="https://alef-home.com/"/>
    <hyperlink ref="V13" r:id="rId35" display="https://www.instagram.com/alefkhobar"/>
    <hyperlink ref="W13" r:id="rId36" display="https://www.facebook.com/Alef-Home-Compound-Khobar-Saudi-Arabia-105496395332383"/>
    <hyperlink ref="G14" r:id="rId37" display="Open map"/>
    <hyperlink ref="Q14" r:id="rId38" display="https://alansari.com.sa/"/>
    <hyperlink ref="X14" r:id="rId39" display="https://www.linkedin.com/company/al-ansari-holding-group"/>
    <hyperlink ref="AD14" r:id="rId40" display="https://rightcompound.com/compounds/khobar/al-ansary-compound"/>
    <hyperlink ref="G15" r:id="rId41" display="Open map"/>
    <hyperlink ref="Q15" r:id="rId42" display="https://alansari.com.sa/"/>
    <hyperlink ref="AD15" r:id="rId43" display="https://rightcompound.com/compounds/khobar/al-ansari-compound-two-al-khobar"/>
    <hyperlink ref="G16" r:id="rId44" display="Open map"/>
    <hyperlink ref="Q16" r:id="rId45" display="https://www.aswadgroup.com/info/al-aswad-compound"/>
    <hyperlink ref="AD16" r:id="rId46" display="https://www.aswadgroup.com/info/al-aswad-compound"/>
    <hyperlink ref="G17" r:id="rId47" display="Open map"/>
    <hyperlink ref="G18" r:id="rId48" display="Open map"/>
    <hyperlink ref="X20" r:id="rId49" display="https://www.linkedin.com/company/nesma-holding"/>
    <hyperlink ref="AD20" r:id="rId50" display="https://www.propertyfinder.sa/blog/%D9%83%D9%85%D8%A8%D9%88%D9%86%D8%AF%D8%A7%D8%AA-%D8%A7%D9%84%D8%AE%D8%A8%D8%B1-%D9%85%D8%AC%D9%85%D8%B9%D8%A7%D8%AA-%D8%B3%D9%83%D9%86%D9%8A%D8%A9-%D8%B9%D8%A7%D9%84%D9%85%D9%8A%D8%A9-%D8%B9%D9%84/"/>
    <hyperlink ref="G23" r:id="rId51" display="Open map"/>
    <hyperlink ref="Q23" r:id="rId52" display="https://seashoreresidence.com/"/>
    <hyperlink ref="G24" r:id="rId53" display="Open map"/>
    <hyperlink ref="Q24" r:id="rId54" display="https://www.darwaemaar.com/"/>
    <hyperlink ref="AD24" r:id="rId55" display="https://rightcompound.com/compounds/khobar/saraya-al-olaya-residential-tower"/>
    <hyperlink ref="G25" r:id="rId56" display="Open map"/>
    <hyperlink ref="Q25" r:id="rId57" display="https://www.darwaemaar.com/"/>
    <hyperlink ref="AD25" r:id="rId58" display="https://rightcompound.com/compounds/khobar/saraya-al-rawabi-complex"/>
    <hyperlink ref="G26" r:id="rId59" display="Open map"/>
    <hyperlink ref="Q26" r:id="rId60" display="https://refadcompound.com/"/>
    <hyperlink ref="G27" r:id="rId61" display="Open map"/>
    <hyperlink ref="AD27" r:id="rId62" display="https://rightcompound.com/compounds/khobar/palm-springs-compound"/>
    <hyperlink ref="G28" r:id="rId63" display="Open map"/>
    <hyperlink ref="G29" r:id="rId64" display="Open map"/>
    <hyperlink ref="G30" r:id="rId65" display="Open map"/>
    <hyperlink ref="G31" r:id="rId66" display="Open map"/>
    <hyperlink ref="G32" r:id="rId67" display="Open map"/>
    <hyperlink ref="G33" r:id="rId68" display="Open map"/>
    <hyperlink ref="G34" r:id="rId69" display="Open map"/>
    <hyperlink ref="AD34" r:id="rId70" display="https://rightcompound.com/compounds/khobar/al-riyadh-compound"/>
    <hyperlink ref="AD35" r:id="rId71" display="https://rightcompound.com/compounds/khobar/al-safa-homes-compound"/>
    <hyperlink ref="G36" r:id="rId72" display="Open map"/>
    <hyperlink ref="AD36" r:id="rId73" display="https://rightcompound.com/compounds/khobar/al-sharq-homes-compound"/>
    <hyperlink ref="G37" r:id="rId74" display="Open map"/>
    <hyperlink ref="AD37" r:id="rId75" display="https://rightcompound.com/compounds/khobar/al-yasmeen-homes-compound"/>
    <hyperlink ref="G38" r:id="rId76" display="Open map"/>
    <hyperlink ref="G39" r:id="rId77" display="Open map"/>
    <hyperlink ref="AD39" r:id="rId78" display="https://rightcompound.com/compounds/khobar/al-shablan-compounds"/>
    <hyperlink ref="G40" r:id="rId79" display="Open map"/>
    <hyperlink ref="AD40" r:id="rId80" display="https://rightcompound.com/compounds/khobar/opal-compound"/>
    <hyperlink ref="G41" r:id="rId81" display="Open map"/>
    <hyperlink ref="AD41" r:id="rId82" display="https://rightcompound.com/compounds/khobar/sedar-village-compound"/>
    <hyperlink ref="G42" r:id="rId83" display="Open map"/>
    <hyperlink ref="AD42" r:id="rId84" display="https://rightcompound.com/compounds/khobar/karawan-compound"/>
    <hyperlink ref="G43" r:id="rId85" display="Open map"/>
    <hyperlink ref="AD43" r:id="rId86" display="https://rightcompound.com/compounds/khobar/gulf-pearl-compound-2"/>
    <hyperlink ref="AD44" r:id="rId87" display="https://rightcompound.com/compounds/khobar/gulf-pearl-compound-2"/>
    <hyperlink ref="G45" r:id="rId88" display="Open map"/>
    <hyperlink ref="AD45" r:id="rId89" display="https://rightcompound.com/compounds/khobar/jouri-homes"/>
    <hyperlink ref="G46" r:id="rId90" display="Open map"/>
    <hyperlink ref="AD46" r:id="rId91" display="https://rightcompound.com/compounds/khobar/al-rashid-residence-towers"/>
    <hyperlink ref="G47" r:id="rId92" display="Open map"/>
    <hyperlink ref="G48" r:id="rId93" display="Open map"/>
    <hyperlink ref="Q48" r:id="rId94" display="https://oasiscompounds.com/oasisgardens/"/>
    <hyperlink ref="G49" r:id="rId95" display="Open map"/>
    <hyperlink ref="Q49" r:id="rId96" display="https://gardens.oasiscompounds.com/oasisresorts/"/>
    <hyperlink ref="G51" r:id="rId97" display="Open map"/>
    <hyperlink ref="G52" r:id="rId98" display="Open map"/>
    <hyperlink ref="G53" r:id="rId99" display="Open map"/>
    <hyperlink ref="G54" r:id="rId100" display="Open map"/>
    <hyperlink ref="G55" r:id="rId101" display="Open map"/>
    <hyperlink ref="Q55" r:id="rId102" display="http://www.rondaco.com/"/>
    <hyperlink ref="X55" r:id="rId103" display="https://www.linkedin.com/company/ronda-residence"/>
    <hyperlink ref="G56" r:id="rId104" display="Open map"/>
    <hyperlink ref="Q56" r:id="rId105" display="https://www.rimaresidence.com/"/>
    <hyperlink ref="W56" r:id="rId106" display="https://www.facebook.com/RimaResidence/"/>
    <hyperlink ref="G57" r:id="rId107" display="Open map"/>
    <hyperlink ref="G58" r:id="rId108" display="Open map"/>
    <hyperlink ref="G59" r:id="rId109" display="Open map"/>
    <hyperlink ref="G60" r:id="rId110" display="Open map"/>
    <hyperlink ref="G61" r:id="rId111" display="Open map"/>
    <hyperlink ref="G62" r:id="rId112" display="Open map"/>
    <hyperlink ref="G63" r:id="rId113" display="Open map"/>
    <hyperlink ref="G64" r:id="rId114" display="Open map"/>
    <hyperlink ref="G65" r:id="rId115" display="Open map"/>
    <hyperlink ref="G66" r:id="rId116" display="Open map"/>
    <hyperlink ref="G67" r:id="rId117" display="Open map"/>
    <hyperlink ref="G68" r:id="rId118" display="Open map"/>
    <hyperlink ref="G69" r:id="rId119" display="Open map"/>
    <hyperlink ref="G70" r:id="rId120" display="Open map"/>
    <hyperlink ref="G71" r:id="rId121" display="Open map"/>
    <hyperlink ref="G72" r:id="rId122" display="Open map"/>
    <hyperlink ref="G73" r:id="rId123" display="Open map"/>
    <hyperlink ref="G74" r:id="rId124" display="Open map"/>
    <hyperlink ref="G75" r:id="rId125" display="Open map"/>
    <hyperlink ref="G76" r:id="rId126" display="Open map"/>
    <hyperlink ref="G77" r:id="rId127" display="Open map"/>
    <hyperlink ref="G78" r:id="rId128" display="Open map"/>
    <hyperlink ref="G79" r:id="rId129" display="Open map"/>
    <hyperlink ref="G80" r:id="rId130" display="Open ma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24"/>
    <col collapsed="false" customWidth="true" hidden="false" outlineLevel="0" max="6" min="6" style="0" width="30"/>
    <col collapsed="false" customWidth="true" hidden="false" outlineLevel="0" max="7" min="7" style="0" width="14"/>
    <col collapsed="false" customWidth="true" hidden="false" outlineLevel="0" max="9" min="8" style="0" width="11"/>
    <col collapsed="false" customWidth="true" hidden="false" outlineLevel="0" max="10" min="10" style="0" width="22"/>
    <col collapsed="false" customWidth="true" hidden="false" outlineLevel="0" max="11" min="11" style="0" width="20"/>
    <col collapsed="false" customWidth="true" hidden="false" outlineLevel="0" max="12" min="12" style="0" width="18"/>
    <col collapsed="false" customWidth="true" hidden="false" outlineLevel="0" max="14" min="13" style="0" width="8"/>
    <col collapsed="false" customWidth="true" hidden="false" outlineLevel="0" max="15" min="15" style="0" width="28"/>
    <col collapsed="false" customWidth="true" hidden="false" outlineLevel="0" max="16" min="16" style="0" width="32"/>
    <col collapsed="false" customWidth="true" hidden="false" outlineLevel="0" max="17" min="17" style="0" width="26"/>
    <col collapsed="false" customWidth="true" hidden="false" outlineLevel="0" max="20" min="18" style="0" width="16"/>
    <col collapsed="false" customWidth="true" hidden="false" outlineLevel="0" max="21" min="21" style="0" width="30"/>
    <col collapsed="false" customWidth="true" hidden="false" outlineLevel="0" max="25" min="22" style="0" width="22"/>
    <col collapsed="false" customWidth="true" hidden="false" outlineLevel="0" max="26" min="26" style="0" width="24"/>
    <col collapsed="false" customWidth="true" hidden="false" outlineLevel="0" max="27" min="27" style="0" width="20"/>
    <col collapsed="false" customWidth="true" hidden="false" outlineLevel="0" max="28" min="28" style="0" width="24"/>
    <col collapsed="false" customWidth="true" hidden="false" outlineLevel="0" max="30" min="29" style="0" width="22"/>
    <col collapsed="false" customWidth="true" hidden="false" outlineLevel="0" max="31" min="31" style="0" width="16"/>
    <col collapsed="false" customWidth="true" hidden="false" outlineLevel="0" max="32" min="32" style="0" width="30"/>
    <col collapsed="false" customWidth="true" hidden="false" outlineLevel="0" max="38" min="33" style="0" width="8"/>
    <col collapsed="false" customWidth="true" hidden="false" outlineLevel="0" max="40" min="39" style="0" width="9"/>
    <col collapsed="false" customWidth="true" hidden="false" outlineLevel="0" max="42" min="41" style="0" width="40"/>
    <col collapsed="false" customWidth="true" hidden="false" outlineLevel="0" max="43" min="43"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ustomFormat="false" ht="15" hidden="false" customHeight="false" outlineLevel="0" collapsed="false">
      <c r="B2" s="6" t="s">
        <v>693</v>
      </c>
    </row>
  </sheetData>
  <autoFilter ref="A1:AQ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24"/>
    <col collapsed="false" customWidth="true" hidden="false" outlineLevel="0" max="6" min="6" style="0" width="30"/>
    <col collapsed="false" customWidth="true" hidden="false" outlineLevel="0" max="7" min="7" style="0" width="14"/>
    <col collapsed="false" customWidth="true" hidden="false" outlineLevel="0" max="9" min="8" style="0" width="11"/>
    <col collapsed="false" customWidth="true" hidden="false" outlineLevel="0" max="10" min="10" style="0" width="22"/>
    <col collapsed="false" customWidth="true" hidden="false" outlineLevel="0" max="11" min="11" style="0" width="20"/>
    <col collapsed="false" customWidth="true" hidden="false" outlineLevel="0" max="12" min="12" style="0" width="18"/>
    <col collapsed="false" customWidth="true" hidden="false" outlineLevel="0" max="14" min="13" style="0" width="8"/>
    <col collapsed="false" customWidth="true" hidden="false" outlineLevel="0" max="15" min="15" style="0" width="28"/>
    <col collapsed="false" customWidth="true" hidden="false" outlineLevel="0" max="16" min="16" style="0" width="32"/>
    <col collapsed="false" customWidth="true" hidden="false" outlineLevel="0" max="17" min="17" style="0" width="26"/>
    <col collapsed="false" customWidth="true" hidden="false" outlineLevel="0" max="20" min="18" style="0" width="16"/>
    <col collapsed="false" customWidth="true" hidden="false" outlineLevel="0" max="21" min="21" style="0" width="30"/>
    <col collapsed="false" customWidth="true" hidden="false" outlineLevel="0" max="25" min="22" style="0" width="22"/>
    <col collapsed="false" customWidth="true" hidden="false" outlineLevel="0" max="26" min="26" style="0" width="24"/>
    <col collapsed="false" customWidth="true" hidden="false" outlineLevel="0" max="27" min="27" style="0" width="20"/>
    <col collapsed="false" customWidth="true" hidden="false" outlineLevel="0" max="28" min="28" style="0" width="24"/>
    <col collapsed="false" customWidth="true" hidden="false" outlineLevel="0" max="30" min="29" style="0" width="22"/>
    <col collapsed="false" customWidth="true" hidden="false" outlineLevel="0" max="31" min="31" style="0" width="16"/>
    <col collapsed="false" customWidth="true" hidden="false" outlineLevel="0" max="32" min="32" style="0" width="30"/>
    <col collapsed="false" customWidth="true" hidden="false" outlineLevel="0" max="38" min="33" style="0" width="8"/>
    <col collapsed="false" customWidth="true" hidden="false" outlineLevel="0" max="40" min="39" style="0" width="9"/>
    <col collapsed="false" customWidth="true" hidden="false" outlineLevel="0" max="42" min="41" style="0" width="40"/>
    <col collapsed="false" customWidth="true" hidden="false" outlineLevel="0" max="43" min="43"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ustomFormat="false" ht="15" hidden="false" customHeight="false" outlineLevel="0" collapsed="false">
      <c r="B2" s="6" t="s">
        <v>693</v>
      </c>
    </row>
  </sheetData>
  <autoFilter ref="A1:AQ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32"/>
    <col collapsed="false" customWidth="true" hidden="false" outlineLevel="0" max="4" min="4" style="0" width="14"/>
    <col collapsed="false" customWidth="true" hidden="false" outlineLevel="0" max="6" min="5" style="0" width="22"/>
    <col collapsed="false" customWidth="true" hidden="false" outlineLevel="0" max="7" min="7" style="0" width="7"/>
    <col collapsed="false" customWidth="true" hidden="false" outlineLevel="0" max="8" min="8" style="0" width="9"/>
    <col collapsed="false" customWidth="true" hidden="false" outlineLevel="0" max="9" min="9" style="0" width="8"/>
    <col collapsed="false" customWidth="true" hidden="false" outlineLevel="0" max="10" min="10" style="0" width="26"/>
    <col collapsed="false" customWidth="true" hidden="false" outlineLevel="0" max="11" min="11" style="0" width="14"/>
    <col collapsed="false" customWidth="true" hidden="false" outlineLevel="0" max="12" min="12" style="0" width="40"/>
    <col collapsed="false" customWidth="true" hidden="false" outlineLevel="0" max="14" min="13" style="0" width="22"/>
  </cols>
  <sheetData>
    <row r="1" customFormat="false" ht="30" hidden="false" customHeight="true" outlineLevel="0" collapsed="false">
      <c r="A1" s="1" t="s">
        <v>694</v>
      </c>
      <c r="B1" s="1" t="s">
        <v>0</v>
      </c>
      <c r="C1" s="1" t="s">
        <v>695</v>
      </c>
      <c r="D1" s="1" t="s">
        <v>3</v>
      </c>
      <c r="E1" s="1" t="s">
        <v>4</v>
      </c>
      <c r="F1" s="1" t="s">
        <v>696</v>
      </c>
      <c r="G1" s="1" t="s">
        <v>13</v>
      </c>
      <c r="H1" s="1" t="s">
        <v>38</v>
      </c>
      <c r="I1" s="1" t="s">
        <v>39</v>
      </c>
      <c r="J1" s="1" t="s">
        <v>697</v>
      </c>
      <c r="K1" s="1" t="s">
        <v>30</v>
      </c>
      <c r="L1" s="1" t="s">
        <v>31</v>
      </c>
      <c r="M1" s="1" t="s">
        <v>698</v>
      </c>
      <c r="N1" s="1" t="s">
        <v>699</v>
      </c>
    </row>
    <row r="2" customFormat="false" ht="15" hidden="false" customHeight="false" outlineLevel="0" collapsed="false">
      <c r="A2" s="7" t="n">
        <v>1</v>
      </c>
      <c r="B2" s="7" t="s">
        <v>219</v>
      </c>
      <c r="C2" s="7" t="s">
        <v>220</v>
      </c>
      <c r="D2" s="7" t="s">
        <v>45</v>
      </c>
      <c r="E2" s="7" t="s">
        <v>222</v>
      </c>
      <c r="F2" s="7" t="s">
        <v>104</v>
      </c>
      <c r="G2" s="7" t="n">
        <v>138</v>
      </c>
      <c r="H2" s="7" t="n">
        <f aca="false">INDEX('Master Database'!$AM:$AM,MATCH(B2,'Master Database'!$A:$A,0))</f>
        <v>65</v>
      </c>
      <c r="I2" s="7" t="str">
        <f aca="false">IF(H2&gt;=80,"A",IF(H2&gt;=60,"B","C"))</f>
        <v>B</v>
      </c>
      <c r="J2" s="7" t="s">
        <v>228</v>
      </c>
      <c r="K2" s="7" t="s">
        <v>63</v>
      </c>
      <c r="L2" s="7" t="s">
        <v>97</v>
      </c>
      <c r="M2" s="7" t="s">
        <v>700</v>
      </c>
      <c r="N2" s="7" t="s">
        <v>701</v>
      </c>
    </row>
    <row r="3" customFormat="false" ht="15" hidden="false" customHeight="false" outlineLevel="0" collapsed="false">
      <c r="A3" s="7" t="n">
        <v>2</v>
      </c>
      <c r="B3" s="7" t="s">
        <v>115</v>
      </c>
      <c r="C3" s="7" t="s">
        <v>116</v>
      </c>
      <c r="D3" s="7" t="s">
        <v>45</v>
      </c>
      <c r="E3" s="7" t="s">
        <v>118</v>
      </c>
      <c r="F3" s="7" t="s">
        <v>119</v>
      </c>
      <c r="G3" s="7" t="n">
        <v>262</v>
      </c>
      <c r="H3" s="7" t="n">
        <f aca="false">INDEX('Master Database'!$AM:$AM,MATCH(B3,'Master Database'!$A:$A,0))</f>
        <v>64</v>
      </c>
      <c r="I3" s="7" t="str">
        <f aca="false">IF(H3&gt;=80,"A",IF(H3&gt;=60,"B","C"))</f>
        <v>B</v>
      </c>
      <c r="J3" s="7" t="s">
        <v>123</v>
      </c>
      <c r="K3" s="7" t="s">
        <v>63</v>
      </c>
      <c r="L3" s="7" t="s">
        <v>64</v>
      </c>
      <c r="M3" s="7" t="s">
        <v>700</v>
      </c>
      <c r="N3" s="7" t="s">
        <v>701</v>
      </c>
    </row>
    <row r="4" customFormat="false" ht="15" hidden="false" customHeight="false" outlineLevel="0" collapsed="false">
      <c r="A4" s="7" t="n">
        <v>3</v>
      </c>
      <c r="B4" s="7" t="s">
        <v>132</v>
      </c>
      <c r="C4" s="7" t="s">
        <v>133</v>
      </c>
      <c r="D4" s="7" t="s">
        <v>45</v>
      </c>
      <c r="E4" s="7" t="s">
        <v>134</v>
      </c>
      <c r="F4" s="7" t="s">
        <v>119</v>
      </c>
      <c r="G4" s="7" t="n">
        <v>254</v>
      </c>
      <c r="H4" s="7" t="n">
        <f aca="false">INDEX('Master Database'!$AM:$AM,MATCH(B4,'Master Database'!$A:$A,0))</f>
        <v>64</v>
      </c>
      <c r="I4" s="7" t="str">
        <f aca="false">IF(H4&gt;=80,"A",IF(H4&gt;=60,"B","C"))</f>
        <v>B</v>
      </c>
      <c r="J4" s="7" t="s">
        <v>139</v>
      </c>
      <c r="K4" s="7" t="s">
        <v>63</v>
      </c>
      <c r="L4" s="7" t="s">
        <v>145</v>
      </c>
      <c r="M4" s="7" t="s">
        <v>702</v>
      </c>
      <c r="N4" s="7" t="s">
        <v>701</v>
      </c>
    </row>
    <row r="5" customFormat="false" ht="15" hidden="false" customHeight="false" outlineLevel="0" collapsed="false">
      <c r="A5" s="7" t="n">
        <v>4</v>
      </c>
      <c r="B5" s="7" t="s">
        <v>232</v>
      </c>
      <c r="C5" s="7" t="s">
        <v>233</v>
      </c>
      <c r="D5" s="7" t="s">
        <v>45</v>
      </c>
      <c r="E5" s="7" t="s">
        <v>235</v>
      </c>
      <c r="F5" s="7" t="s">
        <v>48</v>
      </c>
      <c r="G5" s="7" t="n">
        <v>100</v>
      </c>
      <c r="H5" s="7" t="n">
        <f aca="false">INDEX('Master Database'!$AM:$AM,MATCH(B5,'Master Database'!$A:$A,0))</f>
        <v>63</v>
      </c>
      <c r="I5" s="7" t="str">
        <f aca="false">IF(H5&gt;=80,"A",IF(H5&gt;=60,"B","C"))</f>
        <v>B</v>
      </c>
      <c r="J5" s="7" t="s">
        <v>239</v>
      </c>
      <c r="K5" s="7" t="s">
        <v>183</v>
      </c>
      <c r="L5" s="7" t="s">
        <v>241</v>
      </c>
      <c r="M5" s="7" t="s">
        <v>700</v>
      </c>
      <c r="N5" s="7" t="s">
        <v>700</v>
      </c>
    </row>
    <row r="6" customFormat="false" ht="15" hidden="false" customHeight="false" outlineLevel="0" collapsed="false">
      <c r="A6" s="7" t="n">
        <v>5</v>
      </c>
      <c r="B6" s="7" t="s">
        <v>321</v>
      </c>
      <c r="C6" s="7" t="s">
        <v>322</v>
      </c>
      <c r="D6" s="7" t="s">
        <v>45</v>
      </c>
      <c r="E6" s="7" t="s">
        <v>323</v>
      </c>
      <c r="F6" s="7" t="s">
        <v>119</v>
      </c>
      <c r="G6" s="7" t="n">
        <v>129</v>
      </c>
      <c r="H6" s="7" t="n">
        <f aca="false">INDEX('Master Database'!$AM:$AM,MATCH(B6,'Master Database'!$A:$A,0))</f>
        <v>63</v>
      </c>
      <c r="I6" s="7" t="str">
        <f aca="false">IF(H6&gt;=80,"A",IF(H6&gt;=60,"B","C"))</f>
        <v>B</v>
      </c>
      <c r="J6" s="7" t="s">
        <v>327</v>
      </c>
      <c r="K6" s="7" t="s">
        <v>207</v>
      </c>
      <c r="L6" s="7" t="s">
        <v>241</v>
      </c>
      <c r="M6" s="7" t="s">
        <v>700</v>
      </c>
      <c r="N6" s="7" t="s">
        <v>700</v>
      </c>
    </row>
    <row r="7" customFormat="false" ht="15" hidden="false" customHeight="false" outlineLevel="0" collapsed="false">
      <c r="A7" s="7" t="n">
        <v>6</v>
      </c>
      <c r="B7" s="7" t="s">
        <v>43</v>
      </c>
      <c r="C7" s="7" t="s">
        <v>44</v>
      </c>
      <c r="D7" s="7" t="s">
        <v>45</v>
      </c>
      <c r="E7" s="7"/>
      <c r="F7" s="7" t="s">
        <v>48</v>
      </c>
      <c r="G7" s="7" t="n">
        <v>159</v>
      </c>
      <c r="H7" s="7" t="n">
        <f aca="false">INDEX('Master Database'!$AM:$AM,MATCH(B7,'Master Database'!$A:$A,0))</f>
        <v>59</v>
      </c>
      <c r="I7" s="7" t="str">
        <f aca="false">IF(H7&gt;=80,"A",IF(H7&gt;=60,"B","C"))</f>
        <v>C</v>
      </c>
      <c r="J7" s="7" t="s">
        <v>54</v>
      </c>
      <c r="K7" s="7" t="s">
        <v>63</v>
      </c>
      <c r="L7" s="7" t="s">
        <v>64</v>
      </c>
      <c r="M7" s="7" t="s">
        <v>700</v>
      </c>
      <c r="N7" s="7" t="s">
        <v>701</v>
      </c>
    </row>
    <row r="8" customFormat="false" ht="15" hidden="false" customHeight="false" outlineLevel="0" collapsed="false">
      <c r="A8" s="7" t="n">
        <v>7</v>
      </c>
      <c r="B8" s="7" t="s">
        <v>374</v>
      </c>
      <c r="C8" s="7" t="s">
        <v>375</v>
      </c>
      <c r="D8" s="7" t="s">
        <v>45</v>
      </c>
      <c r="E8" s="7"/>
      <c r="F8" s="7" t="s">
        <v>48</v>
      </c>
      <c r="G8" s="7" t="n">
        <v>100</v>
      </c>
      <c r="H8" s="7" t="n">
        <f aca="false">INDEX('Master Database'!$AM:$AM,MATCH(B8,'Master Database'!$A:$A,0))</f>
        <v>58</v>
      </c>
      <c r="I8" s="7" t="str">
        <f aca="false">IF(H8&gt;=80,"A",IF(H8&gt;=60,"B","C"))</f>
        <v>C</v>
      </c>
      <c r="J8" s="7"/>
      <c r="K8" s="7" t="s">
        <v>153</v>
      </c>
      <c r="L8" s="7" t="s">
        <v>241</v>
      </c>
      <c r="M8" s="7" t="s">
        <v>700</v>
      </c>
      <c r="N8" s="7" t="s">
        <v>700</v>
      </c>
    </row>
    <row r="9" customFormat="false" ht="15" hidden="false" customHeight="false" outlineLevel="0" collapsed="false">
      <c r="A9" s="7" t="n">
        <v>8</v>
      </c>
      <c r="B9" s="7" t="s">
        <v>306</v>
      </c>
      <c r="C9" s="7" t="s">
        <v>307</v>
      </c>
      <c r="D9" s="7" t="s">
        <v>45</v>
      </c>
      <c r="E9" s="7"/>
      <c r="F9" s="7" t="s">
        <v>277</v>
      </c>
      <c r="G9" s="7" t="n">
        <v>66</v>
      </c>
      <c r="H9" s="7" t="n">
        <f aca="false">INDEX('Master Database'!$AM:$AM,MATCH(B9,'Master Database'!$A:$A,0))</f>
        <v>55</v>
      </c>
      <c r="I9" s="7" t="str">
        <f aca="false">IF(H9&gt;=80,"A",IF(H9&gt;=60,"B","C"))</f>
        <v>C</v>
      </c>
      <c r="J9" s="7" t="s">
        <v>302</v>
      </c>
      <c r="K9" s="7" t="s">
        <v>63</v>
      </c>
      <c r="L9" s="7" t="s">
        <v>217</v>
      </c>
      <c r="M9" s="7" t="s">
        <v>702</v>
      </c>
      <c r="N9" s="7" t="s">
        <v>701</v>
      </c>
    </row>
    <row r="10" customFormat="false" ht="15" hidden="false" customHeight="false" outlineLevel="0" collapsed="false">
      <c r="A10" s="7" t="n">
        <v>9</v>
      </c>
      <c r="B10" s="7" t="s">
        <v>504</v>
      </c>
      <c r="C10" s="7" t="s">
        <v>505</v>
      </c>
      <c r="D10" s="7" t="s">
        <v>45</v>
      </c>
      <c r="E10" s="7" t="s">
        <v>118</v>
      </c>
      <c r="F10" s="7" t="s">
        <v>119</v>
      </c>
      <c r="G10" s="7" t="n">
        <v>220</v>
      </c>
      <c r="H10" s="7" t="n">
        <f aca="false">INDEX('Master Database'!$AM:$AM,MATCH(B10,'Master Database'!$A:$A,0))</f>
        <v>54</v>
      </c>
      <c r="I10" s="7" t="str">
        <f aca="false">IF(H10&gt;=80,"A",IF(H10&gt;=60,"B","C"))</f>
        <v>C</v>
      </c>
      <c r="J10" s="7" t="s">
        <v>509</v>
      </c>
      <c r="K10" s="7" t="s">
        <v>63</v>
      </c>
      <c r="L10" s="7" t="s">
        <v>64</v>
      </c>
      <c r="M10" s="7" t="s">
        <v>700</v>
      </c>
      <c r="N10" s="7" t="s">
        <v>701</v>
      </c>
    </row>
    <row r="11" customFormat="false" ht="15" hidden="false" customHeight="false" outlineLevel="0" collapsed="false">
      <c r="A11" s="7" t="n">
        <v>10</v>
      </c>
      <c r="B11" s="7" t="s">
        <v>479</v>
      </c>
      <c r="C11" s="7" t="s">
        <v>480</v>
      </c>
      <c r="D11" s="7" t="s">
        <v>45</v>
      </c>
      <c r="E11" s="7"/>
      <c r="F11" s="7" t="s">
        <v>48</v>
      </c>
      <c r="G11" s="7" t="n">
        <v>232</v>
      </c>
      <c r="H11" s="7" t="n">
        <f aca="false">INDEX('Master Database'!$AM:$AM,MATCH(B11,'Master Database'!$A:$A,0))</f>
        <v>53</v>
      </c>
      <c r="I11" s="7" t="str">
        <f aca="false">IF(H11&gt;=80,"A",IF(H11&gt;=60,"B","C"))</f>
        <v>C</v>
      </c>
      <c r="J11" s="7"/>
      <c r="K11" s="7" t="s">
        <v>153</v>
      </c>
      <c r="L11" s="7" t="s">
        <v>241</v>
      </c>
      <c r="M11" s="7" t="s">
        <v>700</v>
      </c>
      <c r="N11" s="7" t="s">
        <v>700</v>
      </c>
    </row>
    <row r="12" customFormat="false" ht="15" hidden="false" customHeight="false" outlineLevel="0" collapsed="false">
      <c r="A12" s="7" t="n">
        <v>11</v>
      </c>
      <c r="B12" s="7" t="s">
        <v>417</v>
      </c>
      <c r="C12" s="7" t="s">
        <v>418</v>
      </c>
      <c r="D12" s="7" t="s">
        <v>45</v>
      </c>
      <c r="E12" s="7"/>
      <c r="F12" s="7" t="s">
        <v>48</v>
      </c>
      <c r="G12" s="7" t="n">
        <v>69</v>
      </c>
      <c r="H12" s="7" t="n">
        <f aca="false">INDEX('Master Database'!$AM:$AM,MATCH(B12,'Master Database'!$A:$A,0))</f>
        <v>53</v>
      </c>
      <c r="I12" s="7" t="str">
        <f aca="false">IF(H12&gt;=80,"A",IF(H12&gt;=60,"B","C"))</f>
        <v>C</v>
      </c>
      <c r="J12" s="7"/>
      <c r="K12" s="7" t="s">
        <v>153</v>
      </c>
      <c r="L12" s="7" t="s">
        <v>154</v>
      </c>
      <c r="M12" s="7" t="s">
        <v>702</v>
      </c>
      <c r="N12" s="7" t="s">
        <v>700</v>
      </c>
    </row>
    <row r="13" customFormat="false" ht="15" hidden="false" customHeight="false" outlineLevel="0" collapsed="false">
      <c r="A13" s="7" t="n">
        <v>12</v>
      </c>
      <c r="B13" s="7" t="s">
        <v>498</v>
      </c>
      <c r="C13" s="7" t="s">
        <v>499</v>
      </c>
      <c r="D13" s="7" t="s">
        <v>45</v>
      </c>
      <c r="E13" s="7" t="s">
        <v>500</v>
      </c>
      <c r="F13" s="7" t="s">
        <v>119</v>
      </c>
      <c r="G13" s="7" t="n">
        <v>233</v>
      </c>
      <c r="H13" s="7" t="n">
        <f aca="false">INDEX('Master Database'!$AM:$AM,MATCH(B13,'Master Database'!$A:$A,0))</f>
        <v>53</v>
      </c>
      <c r="I13" s="7" t="str">
        <f aca="false">IF(H13&gt;=80,"A",IF(H13&gt;=60,"B","C"))</f>
        <v>C</v>
      </c>
      <c r="J13" s="7"/>
      <c r="K13" s="7" t="s">
        <v>153</v>
      </c>
      <c r="L13" s="7" t="s">
        <v>241</v>
      </c>
      <c r="M13" s="7" t="s">
        <v>700</v>
      </c>
      <c r="N13" s="7" t="s">
        <v>700</v>
      </c>
    </row>
    <row r="14" customFormat="false" ht="15" hidden="false" customHeight="false" outlineLevel="0" collapsed="false">
      <c r="A14" s="7" t="n">
        <v>13</v>
      </c>
      <c r="B14" s="7" t="s">
        <v>210</v>
      </c>
      <c r="C14" s="7" t="s">
        <v>211</v>
      </c>
      <c r="D14" s="7" t="s">
        <v>45</v>
      </c>
      <c r="E14" s="7" t="s">
        <v>212</v>
      </c>
      <c r="F14" s="7" t="s">
        <v>119</v>
      </c>
      <c r="G14" s="7" t="n">
        <v>86</v>
      </c>
      <c r="H14" s="7" t="n">
        <f aca="false">INDEX('Master Database'!$AM:$AM,MATCH(B14,'Master Database'!$A:$A,0))</f>
        <v>50</v>
      </c>
      <c r="I14" s="7" t="str">
        <f aca="false">IF(H14&gt;=80,"A",IF(H14&gt;=60,"B","C"))</f>
        <v>C</v>
      </c>
      <c r="J14" s="7" t="s">
        <v>201</v>
      </c>
      <c r="K14" s="7" t="s">
        <v>207</v>
      </c>
      <c r="L14" s="7" t="s">
        <v>217</v>
      </c>
      <c r="M14" s="7" t="s">
        <v>702</v>
      </c>
      <c r="N14" s="7" t="s">
        <v>701</v>
      </c>
    </row>
    <row r="15" customFormat="false" ht="15" hidden="false" customHeight="false" outlineLevel="0" collapsed="false">
      <c r="A15" s="7" t="n">
        <v>14</v>
      </c>
      <c r="B15" s="7" t="s">
        <v>67</v>
      </c>
      <c r="C15" s="7" t="s">
        <v>68</v>
      </c>
      <c r="D15" s="7" t="s">
        <v>45</v>
      </c>
      <c r="E15" s="7" t="s">
        <v>69</v>
      </c>
      <c r="F15" s="7" t="s">
        <v>48</v>
      </c>
      <c r="G15" s="7" t="n">
        <v>326</v>
      </c>
      <c r="H15" s="7" t="n">
        <f aca="false">INDEX('Master Database'!$AM:$AM,MATCH(B15,'Master Database'!$A:$A,0))</f>
        <v>49</v>
      </c>
      <c r="I15" s="7" t="str">
        <f aca="false">IF(H15&gt;=80,"A",IF(H15&gt;=60,"B","C"))</f>
        <v>C</v>
      </c>
      <c r="J15" s="7" t="s">
        <v>72</v>
      </c>
      <c r="K15" s="7" t="s">
        <v>63</v>
      </c>
      <c r="L15" s="7" t="s">
        <v>64</v>
      </c>
      <c r="M15" s="7" t="s">
        <v>700</v>
      </c>
      <c r="N15" s="7" t="s">
        <v>701</v>
      </c>
    </row>
    <row r="16" customFormat="false" ht="15" hidden="false" customHeight="false" outlineLevel="0" collapsed="false">
      <c r="A16" s="7" t="n">
        <v>15</v>
      </c>
      <c r="B16" s="7" t="s">
        <v>255</v>
      </c>
      <c r="C16" s="7" t="s">
        <v>256</v>
      </c>
      <c r="D16" s="7" t="s">
        <v>45</v>
      </c>
      <c r="E16" s="7" t="s">
        <v>258</v>
      </c>
      <c r="F16" s="7" t="s">
        <v>119</v>
      </c>
      <c r="G16" s="7" t="n">
        <v>124</v>
      </c>
      <c r="H16" s="7" t="n">
        <f aca="false">INDEX('Master Database'!$AM:$AM,MATCH(B16,'Master Database'!$A:$A,0))</f>
        <v>48</v>
      </c>
      <c r="I16" s="7" t="str">
        <f aca="false">IF(H16&gt;=80,"A",IF(H16&gt;=60,"B","C"))</f>
        <v>C</v>
      </c>
      <c r="J16" s="7" t="s">
        <v>260</v>
      </c>
      <c r="K16" s="7" t="s">
        <v>207</v>
      </c>
      <c r="L16" s="7" t="s">
        <v>241</v>
      </c>
      <c r="M16" s="7" t="s">
        <v>700</v>
      </c>
      <c r="N16" s="7" t="s">
        <v>700</v>
      </c>
    </row>
    <row r="17" customFormat="false" ht="15" hidden="false" customHeight="false" outlineLevel="0" collapsed="false">
      <c r="A17" s="7" t="n">
        <v>16</v>
      </c>
      <c r="B17" s="7" t="s">
        <v>381</v>
      </c>
      <c r="C17" s="7" t="s">
        <v>382</v>
      </c>
      <c r="D17" s="7" t="s">
        <v>45</v>
      </c>
      <c r="E17" s="7" t="s">
        <v>167</v>
      </c>
      <c r="F17" s="7" t="s">
        <v>48</v>
      </c>
      <c r="G17" s="7" t="n">
        <v>32</v>
      </c>
      <c r="H17" s="7" t="n">
        <f aca="false">INDEX('Master Database'!$AM:$AM,MATCH(B17,'Master Database'!$A:$A,0))</f>
        <v>48</v>
      </c>
      <c r="I17" s="7" t="str">
        <f aca="false">IF(H17&gt;=80,"A",IF(H17&gt;=60,"B","C"))</f>
        <v>C</v>
      </c>
      <c r="J17" s="7"/>
      <c r="K17" s="7" t="s">
        <v>153</v>
      </c>
      <c r="L17" s="7" t="s">
        <v>241</v>
      </c>
      <c r="M17" s="7" t="s">
        <v>701</v>
      </c>
      <c r="N17" s="7" t="s">
        <v>700</v>
      </c>
    </row>
    <row r="18" customFormat="false" ht="15" hidden="false" customHeight="false" outlineLevel="0" collapsed="false">
      <c r="A18" s="7" t="n">
        <v>17</v>
      </c>
      <c r="B18" s="7" t="s">
        <v>390</v>
      </c>
      <c r="C18" s="7" t="s">
        <v>391</v>
      </c>
      <c r="D18" s="7" t="s">
        <v>45</v>
      </c>
      <c r="E18" s="7"/>
      <c r="F18" s="7" t="s">
        <v>277</v>
      </c>
      <c r="G18" s="7" t="n">
        <v>40</v>
      </c>
      <c r="H18" s="7" t="n">
        <f aca="false">INDEX('Master Database'!$AM:$AM,MATCH(B18,'Master Database'!$A:$A,0))</f>
        <v>48</v>
      </c>
      <c r="I18" s="7" t="str">
        <f aca="false">IF(H18&gt;=80,"A",IF(H18&gt;=60,"B","C"))</f>
        <v>C</v>
      </c>
      <c r="J18" s="7"/>
      <c r="K18" s="7" t="s">
        <v>153</v>
      </c>
      <c r="L18" s="7" t="s">
        <v>241</v>
      </c>
      <c r="M18" s="7" t="s">
        <v>701</v>
      </c>
      <c r="N18" s="7" t="s">
        <v>700</v>
      </c>
    </row>
    <row r="19" customFormat="false" ht="15" hidden="false" customHeight="false" outlineLevel="0" collapsed="false">
      <c r="A19" s="7" t="n">
        <v>18</v>
      </c>
      <c r="B19" s="7" t="s">
        <v>157</v>
      </c>
      <c r="C19" s="7" t="s">
        <v>158</v>
      </c>
      <c r="D19" s="7" t="s">
        <v>45</v>
      </c>
      <c r="E19" s="7" t="s">
        <v>149</v>
      </c>
      <c r="F19" s="7" t="s">
        <v>119</v>
      </c>
      <c r="G19" s="7" t="n">
        <v>134</v>
      </c>
      <c r="H19" s="7" t="n">
        <f aca="false">INDEX('Master Database'!$AM:$AM,MATCH(B19,'Master Database'!$A:$A,0))</f>
        <v>48</v>
      </c>
      <c r="I19" s="7" t="str">
        <f aca="false">IF(H19&gt;=80,"A",IF(H19&gt;=60,"B","C"))</f>
        <v>C</v>
      </c>
      <c r="J19" s="7"/>
      <c r="K19" s="7" t="s">
        <v>153</v>
      </c>
      <c r="L19" s="7" t="s">
        <v>154</v>
      </c>
      <c r="M19" s="7" t="s">
        <v>702</v>
      </c>
      <c r="N19" s="7" t="s">
        <v>700</v>
      </c>
    </row>
    <row r="20" customFormat="false" ht="15" hidden="false" customHeight="false" outlineLevel="0" collapsed="false">
      <c r="A20" s="7" t="n">
        <v>19</v>
      </c>
      <c r="B20" s="7" t="s">
        <v>486</v>
      </c>
      <c r="C20" s="7" t="s">
        <v>487</v>
      </c>
      <c r="D20" s="7" t="s">
        <v>45</v>
      </c>
      <c r="E20" s="7" t="s">
        <v>488</v>
      </c>
      <c r="F20" s="7" t="s">
        <v>277</v>
      </c>
      <c r="G20" s="7" t="n">
        <v>175</v>
      </c>
      <c r="H20" s="7" t="n">
        <f aca="false">INDEX('Master Database'!$AM:$AM,MATCH(B20,'Master Database'!$A:$A,0))</f>
        <v>48</v>
      </c>
      <c r="I20" s="7" t="str">
        <f aca="false">IF(H20&gt;=80,"A",IF(H20&gt;=60,"B","C"))</f>
        <v>C</v>
      </c>
      <c r="J20" s="7"/>
      <c r="K20" s="7" t="s">
        <v>153</v>
      </c>
      <c r="L20" s="7" t="s">
        <v>241</v>
      </c>
      <c r="M20" s="7" t="s">
        <v>700</v>
      </c>
      <c r="N20" s="7" t="s">
        <v>700</v>
      </c>
    </row>
    <row r="21" customFormat="false" ht="15" hidden="false" customHeight="false" outlineLevel="0" collapsed="false">
      <c r="A21" s="7" t="n">
        <v>20</v>
      </c>
      <c r="B21" s="7" t="s">
        <v>550</v>
      </c>
      <c r="C21" s="7" t="s">
        <v>551</v>
      </c>
      <c r="D21" s="7" t="s">
        <v>45</v>
      </c>
      <c r="E21" s="7" t="s">
        <v>222</v>
      </c>
      <c r="F21" s="7" t="s">
        <v>48</v>
      </c>
      <c r="G21" s="7" t="n">
        <v>108</v>
      </c>
      <c r="H21" s="7" t="n">
        <f aca="false">INDEX('Master Database'!$AM:$AM,MATCH(B21,'Master Database'!$A:$A,0))</f>
        <v>48</v>
      </c>
      <c r="I21" s="7" t="str">
        <f aca="false">IF(H21&gt;=80,"A",IF(H21&gt;=60,"B","C"))</f>
        <v>C</v>
      </c>
      <c r="J21" s="7"/>
      <c r="K21" s="7" t="s">
        <v>153</v>
      </c>
      <c r="L21" s="7" t="s">
        <v>241</v>
      </c>
      <c r="M21" s="7" t="s">
        <v>700</v>
      </c>
      <c r="N21" s="7" t="s">
        <v>700</v>
      </c>
    </row>
    <row r="22" customFormat="false" ht="15" hidden="false" customHeight="false" outlineLevel="0" collapsed="false">
      <c r="A22" s="7" t="n">
        <v>21</v>
      </c>
      <c r="B22" s="7" t="s">
        <v>531</v>
      </c>
      <c r="C22" s="7" t="s">
        <v>532</v>
      </c>
      <c r="D22" s="7" t="s">
        <v>347</v>
      </c>
      <c r="E22" s="7" t="s">
        <v>533</v>
      </c>
      <c r="F22" s="7" t="s">
        <v>277</v>
      </c>
      <c r="G22" s="7" t="n">
        <v>195</v>
      </c>
      <c r="H22" s="7" t="n">
        <f aca="false">INDEX('Master Database'!$AM:$AM,MATCH(B22,'Master Database'!$A:$A,0))</f>
        <v>48</v>
      </c>
      <c r="I22" s="7" t="str">
        <f aca="false">IF(H22&gt;=80,"A",IF(H22&gt;=60,"B","C"))</f>
        <v>C</v>
      </c>
      <c r="J22" s="7"/>
      <c r="K22" s="7" t="s">
        <v>153</v>
      </c>
      <c r="L22" s="7" t="s">
        <v>241</v>
      </c>
      <c r="M22" s="7" t="s">
        <v>700</v>
      </c>
      <c r="N22" s="7" t="s">
        <v>700</v>
      </c>
    </row>
    <row r="23" customFormat="false" ht="15" hidden="false" customHeight="false" outlineLevel="0" collapsed="false">
      <c r="A23" s="7" t="n">
        <v>22</v>
      </c>
      <c r="B23" s="7" t="s">
        <v>279</v>
      </c>
      <c r="C23" s="7" t="s">
        <v>280</v>
      </c>
      <c r="D23" s="7" t="s">
        <v>45</v>
      </c>
      <c r="E23" s="7" t="s">
        <v>282</v>
      </c>
      <c r="F23" s="7" t="s">
        <v>277</v>
      </c>
      <c r="G23" s="7" t="n">
        <v>96</v>
      </c>
      <c r="H23" s="7" t="n">
        <f aca="false">INDEX('Master Database'!$AM:$AM,MATCH(B23,'Master Database'!$A:$A,0))</f>
        <v>48</v>
      </c>
      <c r="I23" s="7" t="str">
        <f aca="false">IF(H23&gt;=80,"A",IF(H23&gt;=60,"B","C"))</f>
        <v>C</v>
      </c>
      <c r="J23" s="7" t="s">
        <v>284</v>
      </c>
      <c r="K23" s="7" t="s">
        <v>207</v>
      </c>
      <c r="L23" s="7" t="s">
        <v>154</v>
      </c>
      <c r="M23" s="7" t="s">
        <v>702</v>
      </c>
      <c r="N23" s="7" t="s">
        <v>700</v>
      </c>
    </row>
    <row r="24" customFormat="false" ht="15" hidden="false" customHeight="false" outlineLevel="0" collapsed="false">
      <c r="A24" s="7" t="n">
        <v>23</v>
      </c>
      <c r="B24" s="7" t="s">
        <v>312</v>
      </c>
      <c r="C24" s="7" t="s">
        <v>313</v>
      </c>
      <c r="D24" s="7" t="s">
        <v>45</v>
      </c>
      <c r="E24" s="7"/>
      <c r="F24" s="7" t="s">
        <v>119</v>
      </c>
      <c r="G24" s="7" t="n">
        <v>100</v>
      </c>
      <c r="H24" s="7" t="n">
        <f aca="false">INDEX('Master Database'!$AM:$AM,MATCH(B24,'Master Database'!$A:$A,0))</f>
        <v>45</v>
      </c>
      <c r="I24" s="7" t="str">
        <f aca="false">IF(H24&gt;=80,"A",IF(H24&gt;=60,"B","C"))</f>
        <v>C</v>
      </c>
      <c r="J24" s="7" t="s">
        <v>318</v>
      </c>
      <c r="K24" s="7" t="s">
        <v>207</v>
      </c>
      <c r="L24" s="7" t="s">
        <v>97</v>
      </c>
      <c r="M24" s="7" t="s">
        <v>700</v>
      </c>
      <c r="N24" s="7" t="s">
        <v>701</v>
      </c>
    </row>
    <row r="25" customFormat="false" ht="15" hidden="false" customHeight="false" outlineLevel="0" collapsed="false">
      <c r="A25" s="7" t="n">
        <v>24</v>
      </c>
      <c r="B25" s="7" t="s">
        <v>297</v>
      </c>
      <c r="C25" s="7" t="s">
        <v>298</v>
      </c>
      <c r="D25" s="7" t="s">
        <v>45</v>
      </c>
      <c r="E25" s="7"/>
      <c r="F25" s="7" t="s">
        <v>277</v>
      </c>
      <c r="G25" s="7"/>
      <c r="H25" s="7" t="n">
        <f aca="false">INDEX('Master Database'!$AM:$AM,MATCH(B25,'Master Database'!$A:$A,0))</f>
        <v>45</v>
      </c>
      <c r="I25" s="7" t="str">
        <f aca="false">IF(H25&gt;=80,"A",IF(H25&gt;=60,"B","C"))</f>
        <v>C</v>
      </c>
      <c r="J25" s="7" t="s">
        <v>302</v>
      </c>
      <c r="K25" s="7" t="s">
        <v>63</v>
      </c>
      <c r="L25" s="7" t="s">
        <v>217</v>
      </c>
      <c r="M25" s="7" t="s">
        <v>702</v>
      </c>
      <c r="N25" s="7" t="s">
        <v>701</v>
      </c>
    </row>
    <row r="26" customFormat="false" ht="15" hidden="false" customHeight="false" outlineLevel="0" collapsed="false">
      <c r="A26" s="7" t="n">
        <v>25</v>
      </c>
      <c r="B26" s="7" t="s">
        <v>513</v>
      </c>
      <c r="C26" s="7" t="s">
        <v>514</v>
      </c>
      <c r="D26" s="7" t="s">
        <v>45</v>
      </c>
      <c r="E26" s="7" t="s">
        <v>515</v>
      </c>
      <c r="F26" s="7" t="s">
        <v>277</v>
      </c>
      <c r="G26" s="7" t="n">
        <v>216</v>
      </c>
      <c r="H26" s="7" t="n">
        <f aca="false">INDEX('Master Database'!$AM:$AM,MATCH(B26,'Master Database'!$A:$A,0))</f>
        <v>44</v>
      </c>
      <c r="I26" s="7" t="str">
        <f aca="false">IF(H26&gt;=80,"A",IF(H26&gt;=60,"B","C"))</f>
        <v>C</v>
      </c>
      <c r="J26" s="7" t="s">
        <v>520</v>
      </c>
      <c r="K26" s="7" t="s">
        <v>207</v>
      </c>
      <c r="L26" s="7" t="s">
        <v>64</v>
      </c>
      <c r="M26" s="7" t="s">
        <v>700</v>
      </c>
      <c r="N26" s="7" t="s">
        <v>701</v>
      </c>
    </row>
    <row r="27" customFormat="false" ht="15" hidden="false" customHeight="false" outlineLevel="0" collapsed="false">
      <c r="A27" s="7" t="n">
        <v>26</v>
      </c>
      <c r="B27" s="7" t="s">
        <v>244</v>
      </c>
      <c r="C27" s="7" t="s">
        <v>245</v>
      </c>
      <c r="D27" s="7" t="s">
        <v>45</v>
      </c>
      <c r="E27" s="7" t="s">
        <v>247</v>
      </c>
      <c r="F27" s="7" t="s">
        <v>48</v>
      </c>
      <c r="G27" s="7" t="n">
        <v>15</v>
      </c>
      <c r="H27" s="7" t="n">
        <f aca="false">INDEX('Master Database'!$AM:$AM,MATCH(B27,'Master Database'!$A:$A,0))</f>
        <v>43</v>
      </c>
      <c r="I27" s="7" t="str">
        <f aca="false">IF(H27&gt;=80,"A",IF(H27&gt;=60,"B","C"))</f>
        <v>C</v>
      </c>
      <c r="J27" s="7" t="s">
        <v>251</v>
      </c>
      <c r="K27" s="7" t="s">
        <v>207</v>
      </c>
      <c r="L27" s="7" t="s">
        <v>241</v>
      </c>
      <c r="M27" s="7" t="s">
        <v>701</v>
      </c>
      <c r="N27" s="7" t="s">
        <v>700</v>
      </c>
    </row>
    <row r="28" customFormat="false" ht="15" hidden="false" customHeight="false" outlineLevel="0" collapsed="false">
      <c r="A28" s="7" t="n">
        <v>27</v>
      </c>
      <c r="B28" s="7" t="s">
        <v>543</v>
      </c>
      <c r="C28" s="7" t="s">
        <v>544</v>
      </c>
      <c r="D28" s="7" t="s">
        <v>45</v>
      </c>
      <c r="E28" s="7" t="s">
        <v>545</v>
      </c>
      <c r="F28" s="7" t="s">
        <v>48</v>
      </c>
      <c r="G28" s="7" t="n">
        <v>65</v>
      </c>
      <c r="H28" s="7" t="n">
        <f aca="false">INDEX('Master Database'!$AM:$AM,MATCH(B28,'Master Database'!$A:$A,0))</f>
        <v>43</v>
      </c>
      <c r="I28" s="7" t="str">
        <f aca="false">IF(H28&gt;=80,"A",IF(H28&gt;=60,"B","C"))</f>
        <v>C</v>
      </c>
      <c r="J28" s="7"/>
      <c r="K28" s="7" t="s">
        <v>153</v>
      </c>
      <c r="L28" s="7" t="s">
        <v>241</v>
      </c>
      <c r="M28" s="7" t="s">
        <v>700</v>
      </c>
      <c r="N28" s="7" t="s">
        <v>700</v>
      </c>
    </row>
    <row r="29" customFormat="false" ht="15" hidden="false" customHeight="false" outlineLevel="0" collapsed="false">
      <c r="A29" s="7" t="n">
        <v>28</v>
      </c>
      <c r="B29" s="7" t="s">
        <v>441</v>
      </c>
      <c r="C29" s="7" t="s">
        <v>442</v>
      </c>
      <c r="D29" s="7" t="s">
        <v>45</v>
      </c>
      <c r="E29" s="7" t="s">
        <v>443</v>
      </c>
      <c r="F29" s="7" t="s">
        <v>277</v>
      </c>
      <c r="G29" s="7"/>
      <c r="H29" s="7" t="n">
        <f aca="false">INDEX('Master Database'!$AM:$AM,MATCH(B29,'Master Database'!$A:$A,0))</f>
        <v>43</v>
      </c>
      <c r="I29" s="7" t="str">
        <f aca="false">IF(H29&gt;=80,"A",IF(H29&gt;=60,"B","C"))</f>
        <v>C</v>
      </c>
      <c r="J29" s="7"/>
      <c r="K29" s="7" t="s">
        <v>153</v>
      </c>
      <c r="L29" s="7" t="s">
        <v>154</v>
      </c>
      <c r="M29" s="7" t="s">
        <v>702</v>
      </c>
      <c r="N29" s="7" t="s">
        <v>700</v>
      </c>
    </row>
    <row r="30" customFormat="false" ht="15" hidden="false" customHeight="false" outlineLevel="0" collapsed="false">
      <c r="A30" s="7" t="n">
        <v>29</v>
      </c>
      <c r="B30" s="7" t="s">
        <v>399</v>
      </c>
      <c r="C30" s="7" t="s">
        <v>400</v>
      </c>
      <c r="D30" s="7" t="s">
        <v>45</v>
      </c>
      <c r="E30" s="7"/>
      <c r="F30" s="7" t="s">
        <v>119</v>
      </c>
      <c r="G30" s="7"/>
      <c r="H30" s="7" t="n">
        <f aca="false">INDEX('Master Database'!$AM:$AM,MATCH(B30,'Master Database'!$A:$A,0))</f>
        <v>43</v>
      </c>
      <c r="I30" s="7" t="str">
        <f aca="false">IF(H30&gt;=80,"A",IF(H30&gt;=60,"B","C"))</f>
        <v>C</v>
      </c>
      <c r="J30" s="7"/>
      <c r="K30" s="7" t="s">
        <v>153</v>
      </c>
      <c r="L30" s="7" t="s">
        <v>241</v>
      </c>
      <c r="M30" s="7" t="s">
        <v>701</v>
      </c>
      <c r="N30" s="7" t="s">
        <v>700</v>
      </c>
    </row>
    <row r="31" customFormat="false" ht="15" hidden="false" customHeight="false" outlineLevel="0" collapsed="false">
      <c r="A31" s="7" t="n">
        <v>30</v>
      </c>
      <c r="B31" s="7" t="s">
        <v>386</v>
      </c>
      <c r="C31" s="7" t="s">
        <v>387</v>
      </c>
      <c r="D31" s="7" t="s">
        <v>45</v>
      </c>
      <c r="E31" s="7"/>
      <c r="F31" s="7" t="s">
        <v>104</v>
      </c>
      <c r="G31" s="7"/>
      <c r="H31" s="7" t="n">
        <f aca="false">INDEX('Master Database'!$AM:$AM,MATCH(B31,'Master Database'!$A:$A,0))</f>
        <v>43</v>
      </c>
      <c r="I31" s="7" t="str">
        <f aca="false">IF(H31&gt;=80,"A",IF(H31&gt;=60,"B","C"))</f>
        <v>C</v>
      </c>
      <c r="J31" s="7"/>
      <c r="K31" s="7" t="s">
        <v>153</v>
      </c>
      <c r="L31" s="7" t="s">
        <v>241</v>
      </c>
      <c r="M31" s="7" t="s">
        <v>701</v>
      </c>
      <c r="N31" s="7" t="s">
        <v>700</v>
      </c>
    </row>
    <row r="32" customFormat="false" ht="15" hidden="false" customHeight="false" outlineLevel="0" collapsed="false">
      <c r="A32" s="7" t="n">
        <v>31</v>
      </c>
      <c r="B32" s="7" t="s">
        <v>411</v>
      </c>
      <c r="C32" s="7" t="s">
        <v>412</v>
      </c>
      <c r="D32" s="7" t="s">
        <v>45</v>
      </c>
      <c r="E32" s="7" t="s">
        <v>413</v>
      </c>
      <c r="F32" s="7" t="s">
        <v>357</v>
      </c>
      <c r="G32" s="7"/>
      <c r="H32" s="7" t="n">
        <f aca="false">INDEX('Master Database'!$AM:$AM,MATCH(B32,'Master Database'!$A:$A,0))</f>
        <v>43</v>
      </c>
      <c r="I32" s="7" t="str">
        <f aca="false">IF(H32&gt;=80,"A",IF(H32&gt;=60,"B","C"))</f>
        <v>C</v>
      </c>
      <c r="J32" s="7"/>
      <c r="K32" s="7" t="s">
        <v>153</v>
      </c>
      <c r="L32" s="7" t="s">
        <v>154</v>
      </c>
      <c r="M32" s="7" t="s">
        <v>702</v>
      </c>
      <c r="N32" s="7" t="s">
        <v>700</v>
      </c>
    </row>
    <row r="33" customFormat="false" ht="15" hidden="false" customHeight="false" outlineLevel="0" collapsed="false">
      <c r="A33" s="7" t="n">
        <v>32</v>
      </c>
      <c r="B33" s="7" t="s">
        <v>611</v>
      </c>
      <c r="C33" s="7" t="s">
        <v>612</v>
      </c>
      <c r="D33" s="7" t="s">
        <v>45</v>
      </c>
      <c r="E33" s="7" t="s">
        <v>613</v>
      </c>
      <c r="F33" s="7" t="s">
        <v>119</v>
      </c>
      <c r="G33" s="7"/>
      <c r="H33" s="7" t="n">
        <f aca="false">INDEX('Master Database'!$AM:$AM,MATCH(B33,'Master Database'!$A:$A,0))</f>
        <v>43</v>
      </c>
      <c r="I33" s="7" t="str">
        <f aca="false">IF(H33&gt;=80,"A",IF(H33&gt;=60,"B","C"))</f>
        <v>C</v>
      </c>
      <c r="J33" s="7"/>
      <c r="K33" s="7" t="s">
        <v>153</v>
      </c>
      <c r="L33" s="7" t="s">
        <v>241</v>
      </c>
      <c r="M33" s="7" t="s">
        <v>701</v>
      </c>
      <c r="N33" s="7" t="s">
        <v>700</v>
      </c>
    </row>
    <row r="34" customFormat="false" ht="15" hidden="false" customHeight="false" outlineLevel="0" collapsed="false">
      <c r="A34" s="7" t="n">
        <v>33</v>
      </c>
      <c r="B34" s="7" t="s">
        <v>424</v>
      </c>
      <c r="C34" s="7" t="s">
        <v>425</v>
      </c>
      <c r="D34" s="7" t="s">
        <v>45</v>
      </c>
      <c r="E34" s="7" t="s">
        <v>222</v>
      </c>
      <c r="F34" s="7" t="s">
        <v>119</v>
      </c>
      <c r="G34" s="7"/>
      <c r="H34" s="7" t="n">
        <f aca="false">INDEX('Master Database'!$AM:$AM,MATCH(B34,'Master Database'!$A:$A,0))</f>
        <v>43</v>
      </c>
      <c r="I34" s="7" t="str">
        <f aca="false">IF(H34&gt;=80,"A",IF(H34&gt;=60,"B","C"))</f>
        <v>C</v>
      </c>
      <c r="J34" s="7"/>
      <c r="K34" s="7" t="s">
        <v>153</v>
      </c>
      <c r="L34" s="7" t="s">
        <v>241</v>
      </c>
      <c r="M34" s="7" t="s">
        <v>701</v>
      </c>
      <c r="N34" s="7" t="s">
        <v>700</v>
      </c>
    </row>
    <row r="35" customFormat="false" ht="15" hidden="false" customHeight="false" outlineLevel="0" collapsed="false">
      <c r="A35" s="7" t="n">
        <v>34</v>
      </c>
      <c r="B35" s="7" t="s">
        <v>435</v>
      </c>
      <c r="C35" s="7" t="s">
        <v>436</v>
      </c>
      <c r="D35" s="7" t="s">
        <v>45</v>
      </c>
      <c r="E35" s="7" t="s">
        <v>437</v>
      </c>
      <c r="F35" s="7" t="s">
        <v>119</v>
      </c>
      <c r="G35" s="7"/>
      <c r="H35" s="7" t="n">
        <f aca="false">INDEX('Master Database'!$AM:$AM,MATCH(B35,'Master Database'!$A:$A,0))</f>
        <v>43</v>
      </c>
      <c r="I35" s="7" t="str">
        <f aca="false">IF(H35&gt;=80,"A",IF(H35&gt;=60,"B","C"))</f>
        <v>C</v>
      </c>
      <c r="J35" s="7"/>
      <c r="K35" s="7" t="s">
        <v>153</v>
      </c>
      <c r="L35" s="7" t="s">
        <v>241</v>
      </c>
      <c r="M35" s="7" t="s">
        <v>701</v>
      </c>
      <c r="N35" s="7" t="s">
        <v>700</v>
      </c>
    </row>
    <row r="36" customFormat="false" ht="15" hidden="false" customHeight="false" outlineLevel="0" collapsed="false">
      <c r="A36" s="7" t="n">
        <v>35</v>
      </c>
      <c r="B36" s="7" t="s">
        <v>405</v>
      </c>
      <c r="C36" s="7" t="s">
        <v>406</v>
      </c>
      <c r="D36" s="7" t="s">
        <v>45</v>
      </c>
      <c r="E36" s="7"/>
      <c r="F36" s="7" t="s">
        <v>119</v>
      </c>
      <c r="G36" s="7"/>
      <c r="H36" s="7" t="n">
        <f aca="false">INDEX('Master Database'!$AM:$AM,MATCH(B36,'Master Database'!$A:$A,0))</f>
        <v>43</v>
      </c>
      <c r="I36" s="7" t="str">
        <f aca="false">IF(H36&gt;=80,"A",IF(H36&gt;=60,"B","C"))</f>
        <v>C</v>
      </c>
      <c r="J36" s="7"/>
      <c r="K36" s="7" t="s">
        <v>153</v>
      </c>
      <c r="L36" s="7" t="s">
        <v>154</v>
      </c>
      <c r="M36" s="7" t="s">
        <v>702</v>
      </c>
      <c r="N36" s="7" t="s">
        <v>700</v>
      </c>
    </row>
    <row r="37" customFormat="false" ht="15" hidden="false" customHeight="false" outlineLevel="0" collapsed="false">
      <c r="A37" s="7" t="n">
        <v>36</v>
      </c>
      <c r="B37" s="7" t="s">
        <v>147</v>
      </c>
      <c r="C37" s="7" t="s">
        <v>148</v>
      </c>
      <c r="D37" s="7" t="s">
        <v>45</v>
      </c>
      <c r="E37" s="7" t="s">
        <v>149</v>
      </c>
      <c r="F37" s="7" t="s">
        <v>104</v>
      </c>
      <c r="G37" s="7" t="n">
        <v>52</v>
      </c>
      <c r="H37" s="7" t="n">
        <f aca="false">INDEX('Master Database'!$AM:$AM,MATCH(B37,'Master Database'!$A:$A,0))</f>
        <v>43</v>
      </c>
      <c r="I37" s="7" t="str">
        <f aca="false">IF(H37&gt;=80,"A",IF(H37&gt;=60,"B","C"))</f>
        <v>C</v>
      </c>
      <c r="J37" s="7"/>
      <c r="K37" s="7" t="s">
        <v>153</v>
      </c>
      <c r="L37" s="7" t="s">
        <v>154</v>
      </c>
      <c r="M37" s="7" t="s">
        <v>702</v>
      </c>
      <c r="N37" s="7" t="s">
        <v>700</v>
      </c>
    </row>
    <row r="38" customFormat="false" ht="15" hidden="false" customHeight="false" outlineLevel="0" collapsed="false">
      <c r="A38" s="7" t="n">
        <v>37</v>
      </c>
      <c r="B38" s="7" t="s">
        <v>165</v>
      </c>
      <c r="C38" s="7" t="s">
        <v>166</v>
      </c>
      <c r="D38" s="7" t="s">
        <v>45</v>
      </c>
      <c r="E38" s="7" t="s">
        <v>167</v>
      </c>
      <c r="F38" s="7" t="s">
        <v>119</v>
      </c>
      <c r="G38" s="7"/>
      <c r="H38" s="7" t="n">
        <f aca="false">INDEX('Master Database'!$AM:$AM,MATCH(B38,'Master Database'!$A:$A,0))</f>
        <v>40</v>
      </c>
      <c r="I38" s="7" t="str">
        <f aca="false">IF(H38&gt;=80,"A",IF(H38&gt;=60,"B","C"))</f>
        <v>C</v>
      </c>
      <c r="J38" s="7" t="s">
        <v>171</v>
      </c>
      <c r="K38" s="7" t="s">
        <v>63</v>
      </c>
      <c r="L38" s="7" t="s">
        <v>97</v>
      </c>
      <c r="M38" s="7" t="s">
        <v>701</v>
      </c>
      <c r="N38" s="7" t="s">
        <v>701</v>
      </c>
    </row>
    <row r="39" customFormat="false" ht="15" hidden="false" customHeight="false" outlineLevel="0" collapsed="false">
      <c r="A39" s="7" t="n">
        <v>38</v>
      </c>
      <c r="B39" s="7" t="s">
        <v>331</v>
      </c>
      <c r="C39" s="7" t="s">
        <v>332</v>
      </c>
      <c r="D39" s="7" t="s">
        <v>45</v>
      </c>
      <c r="E39" s="7" t="s">
        <v>333</v>
      </c>
      <c r="F39" s="7" t="s">
        <v>104</v>
      </c>
      <c r="G39" s="7"/>
      <c r="H39" s="7" t="n">
        <f aca="false">INDEX('Master Database'!$AM:$AM,MATCH(B39,'Master Database'!$A:$A,0))</f>
        <v>38</v>
      </c>
      <c r="I39" s="7" t="str">
        <f aca="false">IF(H39&gt;=80,"A",IF(H39&gt;=60,"B","C"))</f>
        <v>C</v>
      </c>
      <c r="J39" s="7" t="s">
        <v>336</v>
      </c>
      <c r="K39" s="7" t="s">
        <v>207</v>
      </c>
      <c r="L39" s="7" t="s">
        <v>241</v>
      </c>
      <c r="M39" s="7" t="s">
        <v>701</v>
      </c>
      <c r="N39" s="7" t="s">
        <v>700</v>
      </c>
    </row>
    <row r="40" customFormat="false" ht="15" hidden="false" customHeight="false" outlineLevel="0" collapsed="false">
      <c r="A40" s="7" t="n">
        <v>39</v>
      </c>
      <c r="B40" s="7" t="s">
        <v>80</v>
      </c>
      <c r="C40" s="7" t="s">
        <v>81</v>
      </c>
      <c r="D40" s="7" t="s">
        <v>45</v>
      </c>
      <c r="E40" s="7" t="s">
        <v>82</v>
      </c>
      <c r="F40" s="7" t="s">
        <v>48</v>
      </c>
      <c r="G40" s="7" t="n">
        <v>560</v>
      </c>
      <c r="H40" s="7" t="n">
        <f aca="false">INDEX('Master Database'!$AM:$AM,MATCH(B40,'Master Database'!$A:$A,0))</f>
        <v>38</v>
      </c>
      <c r="I40" s="7" t="str">
        <f aca="false">IF(H40&gt;=80,"A",IF(H40&gt;=60,"B","C"))</f>
        <v>C</v>
      </c>
      <c r="J40" s="7" t="s">
        <v>84</v>
      </c>
      <c r="K40" s="7" t="s">
        <v>63</v>
      </c>
      <c r="L40" s="7" t="s">
        <v>88</v>
      </c>
      <c r="M40" s="7" t="s">
        <v>700</v>
      </c>
      <c r="N40" s="7" t="s">
        <v>701</v>
      </c>
    </row>
    <row r="41" customFormat="false" ht="15" hidden="false" customHeight="false" outlineLevel="0" collapsed="false">
      <c r="A41" s="7" t="n">
        <v>40</v>
      </c>
      <c r="B41" s="7" t="s">
        <v>338</v>
      </c>
      <c r="C41" s="7" t="s">
        <v>339</v>
      </c>
      <c r="D41" s="7" t="s">
        <v>45</v>
      </c>
      <c r="E41" s="7" t="s">
        <v>340</v>
      </c>
      <c r="F41" s="7" t="s">
        <v>119</v>
      </c>
      <c r="G41" s="7"/>
      <c r="H41" s="7" t="n">
        <f aca="false">INDEX('Master Database'!$AM:$AM,MATCH(B41,'Master Database'!$A:$A,0))</f>
        <v>38</v>
      </c>
      <c r="I41" s="7" t="str">
        <f aca="false">IF(H41&gt;=80,"A",IF(H41&gt;=60,"B","C"))</f>
        <v>C</v>
      </c>
      <c r="J41" s="7" t="s">
        <v>343</v>
      </c>
      <c r="K41" s="7" t="s">
        <v>207</v>
      </c>
      <c r="L41" s="7" t="s">
        <v>241</v>
      </c>
      <c r="M41" s="7" t="s">
        <v>701</v>
      </c>
      <c r="N41" s="7" t="s">
        <v>700</v>
      </c>
    </row>
    <row r="42" customFormat="false" ht="15" hidden="false" customHeight="false" outlineLevel="0" collapsed="false">
      <c r="A42" s="7" t="n">
        <v>41</v>
      </c>
      <c r="B42" s="7" t="s">
        <v>353</v>
      </c>
      <c r="C42" s="7" t="s">
        <v>354</v>
      </c>
      <c r="D42" s="7" t="s">
        <v>45</v>
      </c>
      <c r="E42" s="7" t="s">
        <v>355</v>
      </c>
      <c r="F42" s="7" t="s">
        <v>357</v>
      </c>
      <c r="G42" s="7"/>
      <c r="H42" s="7" t="n">
        <f aca="false">INDEX('Master Database'!$AM:$AM,MATCH(B42,'Master Database'!$A:$A,0))</f>
        <v>38</v>
      </c>
      <c r="I42" s="7" t="str">
        <f aca="false">IF(H42&gt;=80,"A",IF(H42&gt;=60,"B","C"))</f>
        <v>C</v>
      </c>
      <c r="J42" s="7" t="s">
        <v>359</v>
      </c>
      <c r="K42" s="7" t="s">
        <v>207</v>
      </c>
      <c r="L42" s="7" t="s">
        <v>241</v>
      </c>
      <c r="M42" s="7" t="s">
        <v>701</v>
      </c>
      <c r="N42" s="7" t="s">
        <v>700</v>
      </c>
    </row>
    <row r="43" customFormat="false" ht="15" hidden="false" customHeight="false" outlineLevel="0" collapsed="false">
      <c r="A43" s="7" t="n">
        <v>42</v>
      </c>
      <c r="B43" s="7" t="s">
        <v>368</v>
      </c>
      <c r="C43" s="7" t="s">
        <v>369</v>
      </c>
      <c r="D43" s="7" t="s">
        <v>45</v>
      </c>
      <c r="E43" s="7"/>
      <c r="F43" s="7" t="s">
        <v>119</v>
      </c>
      <c r="G43" s="7"/>
      <c r="H43" s="7" t="n">
        <f aca="false">INDEX('Master Database'!$AM:$AM,MATCH(B43,'Master Database'!$A:$A,0))</f>
        <v>38</v>
      </c>
      <c r="I43" s="7" t="str">
        <f aca="false">IF(H43&gt;=80,"A",IF(H43&gt;=60,"B","C"))</f>
        <v>C</v>
      </c>
      <c r="J43" s="7" t="s">
        <v>371</v>
      </c>
      <c r="K43" s="7" t="s">
        <v>207</v>
      </c>
      <c r="L43" s="7" t="s">
        <v>241</v>
      </c>
      <c r="M43" s="7" t="s">
        <v>701</v>
      </c>
      <c r="N43" s="7" t="s">
        <v>700</v>
      </c>
    </row>
    <row r="44" customFormat="false" ht="15" hidden="false" customHeight="false" outlineLevel="0" collapsed="false">
      <c r="A44" s="7" t="n">
        <v>43</v>
      </c>
      <c r="B44" s="7" t="s">
        <v>345</v>
      </c>
      <c r="C44" s="7" t="s">
        <v>346</v>
      </c>
      <c r="D44" s="7" t="s">
        <v>347</v>
      </c>
      <c r="E44" s="7" t="s">
        <v>348</v>
      </c>
      <c r="F44" s="7" t="s">
        <v>119</v>
      </c>
      <c r="G44" s="7"/>
      <c r="H44" s="7" t="n">
        <f aca="false">INDEX('Master Database'!$AM:$AM,MATCH(B44,'Master Database'!$A:$A,0))</f>
        <v>38</v>
      </c>
      <c r="I44" s="7" t="str">
        <f aca="false">IF(H44&gt;=80,"A",IF(H44&gt;=60,"B","C"))</f>
        <v>C</v>
      </c>
      <c r="J44" s="7" t="s">
        <v>351</v>
      </c>
      <c r="K44" s="7" t="s">
        <v>207</v>
      </c>
      <c r="L44" s="7" t="s">
        <v>241</v>
      </c>
      <c r="M44" s="7" t="s">
        <v>701</v>
      </c>
      <c r="N44" s="7" t="s">
        <v>700</v>
      </c>
    </row>
    <row r="45" customFormat="false" ht="15" hidden="false" customHeight="false" outlineLevel="0" collapsed="false">
      <c r="A45" s="7" t="n">
        <v>44</v>
      </c>
      <c r="B45" s="7" t="s">
        <v>555</v>
      </c>
      <c r="C45" s="7" t="s">
        <v>556</v>
      </c>
      <c r="D45" s="7" t="s">
        <v>45</v>
      </c>
      <c r="E45" s="7" t="s">
        <v>340</v>
      </c>
      <c r="F45" s="7" t="s">
        <v>48</v>
      </c>
      <c r="G45" s="7" t="n">
        <v>33</v>
      </c>
      <c r="H45" s="7" t="n">
        <f aca="false">INDEX('Master Database'!$AM:$AM,MATCH(B45,'Master Database'!$A:$A,0))</f>
        <v>38</v>
      </c>
      <c r="I45" s="7" t="str">
        <f aca="false">IF(H45&gt;=80,"A",IF(H45&gt;=60,"B","C"))</f>
        <v>C</v>
      </c>
      <c r="J45" s="7"/>
      <c r="K45" s="7" t="s">
        <v>153</v>
      </c>
      <c r="L45" s="7" t="s">
        <v>241</v>
      </c>
      <c r="M45" s="7" t="s">
        <v>701</v>
      </c>
      <c r="N45" s="7" t="s">
        <v>700</v>
      </c>
    </row>
    <row r="46" customFormat="false" ht="15" hidden="false" customHeight="false" outlineLevel="0" collapsed="false">
      <c r="A46" s="7" t="n">
        <v>45</v>
      </c>
      <c r="B46" s="7" t="s">
        <v>394</v>
      </c>
      <c r="C46" s="7" t="s">
        <v>395</v>
      </c>
      <c r="D46" s="7" t="s">
        <v>45</v>
      </c>
      <c r="E46" s="7"/>
      <c r="F46" s="7" t="s">
        <v>48</v>
      </c>
      <c r="G46" s="7" t="n">
        <v>30</v>
      </c>
      <c r="H46" s="7" t="n">
        <f aca="false">INDEX('Master Database'!$AM:$AM,MATCH(B46,'Master Database'!$A:$A,0))</f>
        <v>38</v>
      </c>
      <c r="I46" s="7" t="str">
        <f aca="false">IF(H46&gt;=80,"A",IF(H46&gt;=60,"B","C"))</f>
        <v>C</v>
      </c>
      <c r="J46" s="7"/>
      <c r="K46" s="7" t="s">
        <v>153</v>
      </c>
      <c r="L46" s="7" t="s">
        <v>241</v>
      </c>
      <c r="M46" s="7" t="s">
        <v>701</v>
      </c>
      <c r="N46" s="7" t="s">
        <v>700</v>
      </c>
    </row>
    <row r="47" customFormat="false" ht="15" hidden="false" customHeight="false" outlineLevel="0" collapsed="false">
      <c r="A47" s="7" t="n">
        <v>46</v>
      </c>
      <c r="B47" s="7" t="s">
        <v>361</v>
      </c>
      <c r="C47" s="7" t="s">
        <v>362</v>
      </c>
      <c r="D47" s="7" t="s">
        <v>347</v>
      </c>
      <c r="E47" s="7" t="s">
        <v>363</v>
      </c>
      <c r="F47" s="7" t="s">
        <v>119</v>
      </c>
      <c r="G47" s="7"/>
      <c r="H47" s="7" t="n">
        <f aca="false">INDEX('Master Database'!$AM:$AM,MATCH(B47,'Master Database'!$A:$A,0))</f>
        <v>38</v>
      </c>
      <c r="I47" s="7" t="str">
        <f aca="false">IF(H47&gt;=80,"A",IF(H47&gt;=60,"B","C"))</f>
        <v>C</v>
      </c>
      <c r="J47" s="7" t="s">
        <v>366</v>
      </c>
      <c r="K47" s="7" t="s">
        <v>207</v>
      </c>
      <c r="L47" s="7" t="s">
        <v>241</v>
      </c>
      <c r="M47" s="7" t="s">
        <v>701</v>
      </c>
      <c r="N47" s="7" t="s">
        <v>700</v>
      </c>
    </row>
    <row r="48" customFormat="false" ht="15" hidden="false" customHeight="false" outlineLevel="0" collapsed="false">
      <c r="A48" s="7" t="n">
        <v>47</v>
      </c>
      <c r="B48" s="7" t="s">
        <v>647</v>
      </c>
      <c r="C48" s="7" t="s">
        <v>648</v>
      </c>
      <c r="D48" s="7" t="s">
        <v>45</v>
      </c>
      <c r="E48" s="7" t="s">
        <v>649</v>
      </c>
      <c r="F48" s="7" t="s">
        <v>48</v>
      </c>
      <c r="G48" s="7" t="n">
        <v>11</v>
      </c>
      <c r="H48" s="7" t="n">
        <f aca="false">INDEX('Master Database'!$AM:$AM,MATCH(B48,'Master Database'!$A:$A,0))</f>
        <v>38</v>
      </c>
      <c r="I48" s="7" t="str">
        <f aca="false">IF(H48&gt;=80,"A",IF(H48&gt;=60,"B","C"))</f>
        <v>C</v>
      </c>
      <c r="J48" s="7"/>
      <c r="K48" s="7" t="s">
        <v>153</v>
      </c>
      <c r="L48" s="7" t="s">
        <v>241</v>
      </c>
      <c r="M48" s="7" t="s">
        <v>701</v>
      </c>
      <c r="N48" s="7" t="s">
        <v>700</v>
      </c>
    </row>
    <row r="49" customFormat="false" ht="15" hidden="false" customHeight="false" outlineLevel="0" collapsed="false">
      <c r="A49" s="7" t="n">
        <v>48</v>
      </c>
      <c r="B49" s="7" t="s">
        <v>263</v>
      </c>
      <c r="C49" s="7" t="s">
        <v>264</v>
      </c>
      <c r="D49" s="7" t="s">
        <v>45</v>
      </c>
      <c r="E49" s="7" t="s">
        <v>266</v>
      </c>
      <c r="F49" s="7" t="s">
        <v>48</v>
      </c>
      <c r="G49" s="7"/>
      <c r="H49" s="7" t="n">
        <f aca="false">INDEX('Master Database'!$AM:$AM,MATCH(B49,'Master Database'!$A:$A,0))</f>
        <v>37</v>
      </c>
      <c r="I49" s="7" t="str">
        <f aca="false">IF(H49&gt;=80,"A",IF(H49&gt;=60,"B","C"))</f>
        <v>C</v>
      </c>
      <c r="J49" s="7" t="s">
        <v>268</v>
      </c>
      <c r="K49" s="7" t="s">
        <v>207</v>
      </c>
      <c r="L49" s="7" t="s">
        <v>272</v>
      </c>
      <c r="M49" s="7" t="s">
        <v>701</v>
      </c>
      <c r="N49" s="7" t="s">
        <v>700</v>
      </c>
    </row>
    <row r="50" customFormat="false" ht="15" hidden="false" customHeight="false" outlineLevel="0" collapsed="false">
      <c r="A50" s="7" t="n">
        <v>49</v>
      </c>
      <c r="B50" s="7" t="s">
        <v>175</v>
      </c>
      <c r="C50" s="7" t="s">
        <v>176</v>
      </c>
      <c r="D50" s="7" t="s">
        <v>45</v>
      </c>
      <c r="E50" s="7" t="s">
        <v>178</v>
      </c>
      <c r="F50" s="7" t="s">
        <v>104</v>
      </c>
      <c r="G50" s="7"/>
      <c r="H50" s="7" t="n">
        <f aca="false">INDEX('Master Database'!$AM:$AM,MATCH(B50,'Master Database'!$A:$A,0))</f>
        <v>35</v>
      </c>
      <c r="I50" s="7" t="str">
        <f aca="false">IF(H50&gt;=80,"A",IF(H50&gt;=60,"B","C"))</f>
        <v>C</v>
      </c>
      <c r="J50" s="7" t="s">
        <v>181</v>
      </c>
      <c r="K50" s="7" t="s">
        <v>183</v>
      </c>
      <c r="L50" s="7" t="s">
        <v>97</v>
      </c>
      <c r="M50" s="7" t="s">
        <v>701</v>
      </c>
      <c r="N50" s="7" t="s">
        <v>701</v>
      </c>
    </row>
    <row r="51" customFormat="false" ht="15" hidden="false" customHeight="false" outlineLevel="0" collapsed="false">
      <c r="A51" s="7" t="n">
        <v>50</v>
      </c>
      <c r="B51" s="7" t="s">
        <v>196</v>
      </c>
      <c r="C51" s="7" t="s">
        <v>197</v>
      </c>
      <c r="D51" s="7" t="s">
        <v>45</v>
      </c>
      <c r="E51" s="7"/>
      <c r="F51" s="7" t="s">
        <v>119</v>
      </c>
      <c r="G51" s="7"/>
      <c r="H51" s="7" t="n">
        <f aca="false">INDEX('Master Database'!$AM:$AM,MATCH(B51,'Master Database'!$A:$A,0))</f>
        <v>34</v>
      </c>
      <c r="I51" s="7" t="str">
        <f aca="false">IF(H51&gt;=80,"A",IF(H51&gt;=60,"B","C"))</f>
        <v>C</v>
      </c>
      <c r="J51" s="7" t="s">
        <v>201</v>
      </c>
      <c r="K51" s="7" t="s">
        <v>207</v>
      </c>
      <c r="L51" s="7" t="s">
        <v>145</v>
      </c>
      <c r="M51" s="7" t="s">
        <v>702</v>
      </c>
      <c r="N51" s="7" t="s">
        <v>701</v>
      </c>
    </row>
    <row r="52" customFormat="false" ht="15" hidden="false" customHeight="false" outlineLevel="0" collapsed="false">
      <c r="A52" s="7" t="n">
        <v>51</v>
      </c>
      <c r="B52" s="7" t="s">
        <v>660</v>
      </c>
      <c r="C52" s="7" t="s">
        <v>661</v>
      </c>
      <c r="D52" s="7" t="s">
        <v>45</v>
      </c>
      <c r="E52" s="7" t="s">
        <v>662</v>
      </c>
      <c r="F52" s="7" t="s">
        <v>277</v>
      </c>
      <c r="G52" s="7"/>
      <c r="H52" s="7" t="n">
        <f aca="false">INDEX('Master Database'!$AM:$AM,MATCH(B52,'Master Database'!$A:$A,0))</f>
        <v>33</v>
      </c>
      <c r="I52" s="7" t="str">
        <f aca="false">IF(H52&gt;=80,"A",IF(H52&gt;=60,"B","C"))</f>
        <v>C</v>
      </c>
      <c r="J52" s="7"/>
      <c r="K52" s="7" t="s">
        <v>153</v>
      </c>
      <c r="L52" s="7" t="s">
        <v>241</v>
      </c>
      <c r="M52" s="7" t="s">
        <v>701</v>
      </c>
      <c r="N52" s="7" t="s">
        <v>700</v>
      </c>
    </row>
    <row r="53" customFormat="false" ht="15" hidden="false" customHeight="false" outlineLevel="0" collapsed="false">
      <c r="A53" s="7" t="n">
        <v>52</v>
      </c>
      <c r="B53" s="7" t="s">
        <v>653</v>
      </c>
      <c r="C53" s="7" t="s">
        <v>654</v>
      </c>
      <c r="D53" s="7" t="s">
        <v>45</v>
      </c>
      <c r="E53" s="7" t="s">
        <v>655</v>
      </c>
      <c r="F53" s="7" t="s">
        <v>571</v>
      </c>
      <c r="G53" s="7"/>
      <c r="H53" s="7" t="n">
        <f aca="false">INDEX('Master Database'!$AM:$AM,MATCH(B53,'Master Database'!$A:$A,0))</f>
        <v>33</v>
      </c>
      <c r="I53" s="7" t="str">
        <f aca="false">IF(H53&gt;=80,"A",IF(H53&gt;=60,"B","C"))</f>
        <v>C</v>
      </c>
      <c r="J53" s="7"/>
      <c r="K53" s="7" t="s">
        <v>153</v>
      </c>
      <c r="L53" s="7" t="s">
        <v>241</v>
      </c>
      <c r="M53" s="7" t="s">
        <v>701</v>
      </c>
      <c r="N53" s="7" t="s">
        <v>700</v>
      </c>
    </row>
    <row r="54" customFormat="false" ht="15" hidden="false" customHeight="false" outlineLevel="0" collapsed="false">
      <c r="A54" s="7" t="n">
        <v>53</v>
      </c>
      <c r="B54" s="7" t="s">
        <v>580</v>
      </c>
      <c r="C54" s="7" t="s">
        <v>581</v>
      </c>
      <c r="D54" s="7" t="s">
        <v>45</v>
      </c>
      <c r="E54" s="7" t="s">
        <v>582</v>
      </c>
      <c r="F54" s="7" t="s">
        <v>119</v>
      </c>
      <c r="G54" s="7"/>
      <c r="H54" s="7" t="n">
        <f aca="false">INDEX('Master Database'!$AM:$AM,MATCH(B54,'Master Database'!$A:$A,0))</f>
        <v>33</v>
      </c>
      <c r="I54" s="7" t="str">
        <f aca="false">IF(H54&gt;=80,"A",IF(H54&gt;=60,"B","C"))</f>
        <v>C</v>
      </c>
      <c r="J54" s="7"/>
      <c r="K54" s="7" t="s">
        <v>153</v>
      </c>
      <c r="L54" s="7" t="s">
        <v>241</v>
      </c>
      <c r="M54" s="7" t="s">
        <v>701</v>
      </c>
      <c r="N54" s="7" t="s">
        <v>700</v>
      </c>
    </row>
    <row r="55" customFormat="false" ht="15" hidden="false" customHeight="false" outlineLevel="0" collapsed="false">
      <c r="A55" s="7" t="n">
        <v>54</v>
      </c>
      <c r="B55" s="7" t="s">
        <v>585</v>
      </c>
      <c r="C55" s="7" t="s">
        <v>586</v>
      </c>
      <c r="D55" s="7" t="s">
        <v>45</v>
      </c>
      <c r="E55" s="7" t="s">
        <v>167</v>
      </c>
      <c r="F55" s="7" t="s">
        <v>119</v>
      </c>
      <c r="G55" s="7"/>
      <c r="H55" s="7" t="n">
        <f aca="false">INDEX('Master Database'!$AM:$AM,MATCH(B55,'Master Database'!$A:$A,0))</f>
        <v>33</v>
      </c>
      <c r="I55" s="7" t="str">
        <f aca="false">IF(H55&gt;=80,"A",IF(H55&gt;=60,"B","C"))</f>
        <v>C</v>
      </c>
      <c r="J55" s="7"/>
      <c r="K55" s="7" t="s">
        <v>153</v>
      </c>
      <c r="L55" s="7" t="s">
        <v>241</v>
      </c>
      <c r="M55" s="7" t="s">
        <v>701</v>
      </c>
      <c r="N55" s="7" t="s">
        <v>700</v>
      </c>
    </row>
    <row r="56" customFormat="false" ht="15" hidden="false" customHeight="false" outlineLevel="0" collapsed="false">
      <c r="A56" s="7" t="n">
        <v>55</v>
      </c>
      <c r="B56" s="7" t="s">
        <v>590</v>
      </c>
      <c r="C56" s="7" t="s">
        <v>591</v>
      </c>
      <c r="D56" s="7" t="s">
        <v>45</v>
      </c>
      <c r="E56" s="7" t="s">
        <v>592</v>
      </c>
      <c r="F56" s="7" t="s">
        <v>277</v>
      </c>
      <c r="G56" s="7"/>
      <c r="H56" s="7" t="n">
        <f aca="false">INDEX('Master Database'!$AM:$AM,MATCH(B56,'Master Database'!$A:$A,0))</f>
        <v>33</v>
      </c>
      <c r="I56" s="7" t="str">
        <f aca="false">IF(H56&gt;=80,"A",IF(H56&gt;=60,"B","C"))</f>
        <v>C</v>
      </c>
      <c r="J56" s="7"/>
      <c r="K56" s="7" t="s">
        <v>153</v>
      </c>
      <c r="L56" s="7" t="s">
        <v>241</v>
      </c>
      <c r="M56" s="7" t="s">
        <v>701</v>
      </c>
      <c r="N56" s="7" t="s">
        <v>700</v>
      </c>
    </row>
    <row r="57" customFormat="false" ht="15" hidden="false" customHeight="false" outlineLevel="0" collapsed="false">
      <c r="A57" s="7" t="n">
        <v>56</v>
      </c>
      <c r="B57" s="7" t="s">
        <v>575</v>
      </c>
      <c r="C57" s="7" t="s">
        <v>576</v>
      </c>
      <c r="D57" s="7" t="s">
        <v>45</v>
      </c>
      <c r="E57" s="7" t="s">
        <v>222</v>
      </c>
      <c r="F57" s="7" t="s">
        <v>119</v>
      </c>
      <c r="G57" s="7"/>
      <c r="H57" s="7" t="n">
        <f aca="false">INDEX('Master Database'!$AM:$AM,MATCH(B57,'Master Database'!$A:$A,0))</f>
        <v>33</v>
      </c>
      <c r="I57" s="7" t="str">
        <f aca="false">IF(H57&gt;=80,"A",IF(H57&gt;=60,"B","C"))</f>
        <v>C</v>
      </c>
      <c r="J57" s="7"/>
      <c r="K57" s="7" t="s">
        <v>153</v>
      </c>
      <c r="L57" s="7" t="s">
        <v>241</v>
      </c>
      <c r="M57" s="7" t="s">
        <v>701</v>
      </c>
      <c r="N57" s="7" t="s">
        <v>700</v>
      </c>
    </row>
    <row r="58" customFormat="false" ht="15" hidden="false" customHeight="false" outlineLevel="0" collapsed="false">
      <c r="A58" s="7" t="n">
        <v>57</v>
      </c>
      <c r="B58" s="7" t="s">
        <v>449</v>
      </c>
      <c r="C58" s="7" t="s">
        <v>450</v>
      </c>
      <c r="D58" s="7" t="s">
        <v>45</v>
      </c>
      <c r="E58" s="7" t="s">
        <v>451</v>
      </c>
      <c r="F58" s="7" t="s">
        <v>277</v>
      </c>
      <c r="G58" s="7"/>
      <c r="H58" s="7" t="n">
        <f aca="false">INDEX('Master Database'!$AM:$AM,MATCH(B58,'Master Database'!$A:$A,0))</f>
        <v>33</v>
      </c>
      <c r="I58" s="7" t="str">
        <f aca="false">IF(H58&gt;=80,"A",IF(H58&gt;=60,"B","C"))</f>
        <v>C</v>
      </c>
      <c r="J58" s="7"/>
      <c r="K58" s="7" t="s">
        <v>153</v>
      </c>
      <c r="L58" s="7" t="s">
        <v>241</v>
      </c>
      <c r="M58" s="7" t="s">
        <v>701</v>
      </c>
      <c r="N58" s="7" t="s">
        <v>700</v>
      </c>
    </row>
    <row r="59" customFormat="false" ht="15" hidden="false" customHeight="false" outlineLevel="0" collapsed="false">
      <c r="A59" s="7" t="n">
        <v>58</v>
      </c>
      <c r="B59" s="7" t="s">
        <v>526</v>
      </c>
      <c r="C59" s="7" t="s">
        <v>527</v>
      </c>
      <c r="D59" s="7" t="s">
        <v>45</v>
      </c>
      <c r="E59" s="7" t="s">
        <v>93</v>
      </c>
      <c r="F59" s="7" t="s">
        <v>277</v>
      </c>
      <c r="G59" s="7"/>
      <c r="H59" s="7" t="n">
        <f aca="false">INDEX('Master Database'!$AM:$AM,MATCH(B59,'Master Database'!$A:$A,0))</f>
        <v>33</v>
      </c>
      <c r="I59" s="7" t="str">
        <f aca="false">IF(H59&gt;=80,"A",IF(H59&gt;=60,"B","C"))</f>
        <v>C</v>
      </c>
      <c r="J59" s="7"/>
      <c r="K59" s="7" t="s">
        <v>153</v>
      </c>
      <c r="L59" s="7" t="s">
        <v>241</v>
      </c>
      <c r="M59" s="7" t="s">
        <v>701</v>
      </c>
      <c r="N59" s="7" t="s">
        <v>700</v>
      </c>
    </row>
    <row r="60" customFormat="false" ht="15" hidden="false" customHeight="false" outlineLevel="0" collapsed="false">
      <c r="A60" s="7" t="n">
        <v>59</v>
      </c>
      <c r="B60" s="7" t="s">
        <v>596</v>
      </c>
      <c r="C60" s="7" t="s">
        <v>597</v>
      </c>
      <c r="D60" s="7" t="s">
        <v>45</v>
      </c>
      <c r="E60" s="7" t="s">
        <v>598</v>
      </c>
      <c r="F60" s="7" t="s">
        <v>48</v>
      </c>
      <c r="G60" s="7"/>
      <c r="H60" s="7" t="n">
        <f aca="false">INDEX('Master Database'!$AM:$AM,MATCH(B60,'Master Database'!$A:$A,0))</f>
        <v>33</v>
      </c>
      <c r="I60" s="7" t="str">
        <f aca="false">IF(H60&gt;=80,"A",IF(H60&gt;=60,"B","C"))</f>
        <v>C</v>
      </c>
      <c r="J60" s="7"/>
      <c r="K60" s="7" t="s">
        <v>153</v>
      </c>
      <c r="L60" s="7" t="s">
        <v>241</v>
      </c>
      <c r="M60" s="7" t="s">
        <v>701</v>
      </c>
      <c r="N60" s="7" t="s">
        <v>700</v>
      </c>
    </row>
    <row r="61" customFormat="false" ht="15" hidden="false" customHeight="false" outlineLevel="0" collapsed="false">
      <c r="A61" s="7" t="n">
        <v>60</v>
      </c>
      <c r="B61" s="7" t="s">
        <v>602</v>
      </c>
      <c r="C61" s="7" t="s">
        <v>603</v>
      </c>
      <c r="D61" s="7" t="s">
        <v>45</v>
      </c>
      <c r="E61" s="7" t="s">
        <v>604</v>
      </c>
      <c r="F61" s="7" t="s">
        <v>119</v>
      </c>
      <c r="G61" s="7"/>
      <c r="H61" s="7" t="n">
        <f aca="false">INDEX('Master Database'!$AM:$AM,MATCH(B61,'Master Database'!$A:$A,0))</f>
        <v>33</v>
      </c>
      <c r="I61" s="7" t="str">
        <f aca="false">IF(H61&gt;=80,"A",IF(H61&gt;=60,"B","C"))</f>
        <v>C</v>
      </c>
      <c r="J61" s="7"/>
      <c r="K61" s="7" t="s">
        <v>153</v>
      </c>
      <c r="L61" s="7" t="s">
        <v>241</v>
      </c>
      <c r="M61" s="7" t="s">
        <v>701</v>
      </c>
      <c r="N61" s="7" t="s">
        <v>700</v>
      </c>
    </row>
    <row r="62" customFormat="false" ht="15" hidden="false" customHeight="false" outlineLevel="0" collapsed="false">
      <c r="A62" s="7" t="n">
        <v>61</v>
      </c>
      <c r="B62" s="7" t="s">
        <v>607</v>
      </c>
      <c r="C62" s="7" t="s">
        <v>608</v>
      </c>
      <c r="D62" s="7" t="s">
        <v>45</v>
      </c>
      <c r="E62" s="7"/>
      <c r="F62" s="7" t="s">
        <v>119</v>
      </c>
      <c r="G62" s="7"/>
      <c r="H62" s="7" t="n">
        <f aca="false">INDEX('Master Database'!$AM:$AM,MATCH(B62,'Master Database'!$A:$A,0))</f>
        <v>33</v>
      </c>
      <c r="I62" s="7" t="str">
        <f aca="false">IF(H62&gt;=80,"A",IF(H62&gt;=60,"B","C"))</f>
        <v>C</v>
      </c>
      <c r="J62" s="7"/>
      <c r="K62" s="7" t="s">
        <v>153</v>
      </c>
      <c r="L62" s="7" t="s">
        <v>241</v>
      </c>
      <c r="M62" s="7" t="s">
        <v>701</v>
      </c>
      <c r="N62" s="7" t="s">
        <v>700</v>
      </c>
    </row>
    <row r="63" customFormat="false" ht="15" hidden="false" customHeight="false" outlineLevel="0" collapsed="false">
      <c r="A63" s="7" t="n">
        <v>62</v>
      </c>
      <c r="B63" s="7" t="s">
        <v>493</v>
      </c>
      <c r="C63" s="7" t="s">
        <v>494</v>
      </c>
      <c r="D63" s="7" t="s">
        <v>45</v>
      </c>
      <c r="E63" s="7" t="s">
        <v>167</v>
      </c>
      <c r="F63" s="7" t="s">
        <v>277</v>
      </c>
      <c r="G63" s="7"/>
      <c r="H63" s="7" t="n">
        <f aca="false">INDEX('Master Database'!$AM:$AM,MATCH(B63,'Master Database'!$A:$A,0))</f>
        <v>33</v>
      </c>
      <c r="I63" s="7" t="str">
        <f aca="false">IF(H63&gt;=80,"A",IF(H63&gt;=60,"B","C"))</f>
        <v>C</v>
      </c>
      <c r="J63" s="7"/>
      <c r="K63" s="7" t="s">
        <v>153</v>
      </c>
      <c r="L63" s="7" t="s">
        <v>241</v>
      </c>
      <c r="M63" s="7" t="s">
        <v>701</v>
      </c>
      <c r="N63" s="7" t="s">
        <v>700</v>
      </c>
    </row>
    <row r="64" customFormat="false" ht="15" hidden="false" customHeight="false" outlineLevel="0" collapsed="false">
      <c r="A64" s="7" t="n">
        <v>63</v>
      </c>
      <c r="B64" s="7" t="s">
        <v>618</v>
      </c>
      <c r="C64" s="7" t="s">
        <v>619</v>
      </c>
      <c r="D64" s="7" t="s">
        <v>45</v>
      </c>
      <c r="E64" s="7" t="s">
        <v>620</v>
      </c>
      <c r="F64" s="7" t="s">
        <v>119</v>
      </c>
      <c r="G64" s="7"/>
      <c r="H64" s="7" t="n">
        <f aca="false">INDEX('Master Database'!$AM:$AM,MATCH(B64,'Master Database'!$A:$A,0))</f>
        <v>33</v>
      </c>
      <c r="I64" s="7" t="str">
        <f aca="false">IF(H64&gt;=80,"A",IF(H64&gt;=60,"B","C"))</f>
        <v>C</v>
      </c>
      <c r="J64" s="7"/>
      <c r="K64" s="7" t="s">
        <v>153</v>
      </c>
      <c r="L64" s="7" t="s">
        <v>241</v>
      </c>
      <c r="M64" s="7" t="s">
        <v>701</v>
      </c>
      <c r="N64" s="7" t="s">
        <v>700</v>
      </c>
    </row>
    <row r="65" customFormat="false" ht="15" hidden="false" customHeight="false" outlineLevel="0" collapsed="false">
      <c r="A65" s="7" t="n">
        <v>64</v>
      </c>
      <c r="B65" s="7" t="s">
        <v>625</v>
      </c>
      <c r="C65" s="7" t="s">
        <v>626</v>
      </c>
      <c r="D65" s="7" t="s">
        <v>347</v>
      </c>
      <c r="E65" s="7" t="s">
        <v>627</v>
      </c>
      <c r="F65" s="7" t="s">
        <v>119</v>
      </c>
      <c r="G65" s="7"/>
      <c r="H65" s="7" t="n">
        <f aca="false">INDEX('Master Database'!$AM:$AM,MATCH(B65,'Master Database'!$A:$A,0))</f>
        <v>33</v>
      </c>
      <c r="I65" s="7" t="str">
        <f aca="false">IF(H65&gt;=80,"A",IF(H65&gt;=60,"B","C"))</f>
        <v>C</v>
      </c>
      <c r="J65" s="7"/>
      <c r="K65" s="7" t="s">
        <v>153</v>
      </c>
      <c r="L65" s="7" t="s">
        <v>241</v>
      </c>
      <c r="M65" s="7" t="s">
        <v>701</v>
      </c>
      <c r="N65" s="7" t="s">
        <v>700</v>
      </c>
    </row>
    <row r="66" customFormat="false" ht="15" hidden="false" customHeight="false" outlineLevel="0" collapsed="false">
      <c r="A66" s="7" t="n">
        <v>65</v>
      </c>
      <c r="B66" s="7" t="s">
        <v>560</v>
      </c>
      <c r="C66" s="7" t="s">
        <v>561</v>
      </c>
      <c r="D66" s="7" t="s">
        <v>45</v>
      </c>
      <c r="E66" s="7" t="s">
        <v>562</v>
      </c>
      <c r="F66" s="7" t="s">
        <v>119</v>
      </c>
      <c r="G66" s="7"/>
      <c r="H66" s="7" t="n">
        <f aca="false">INDEX('Master Database'!$AM:$AM,MATCH(B66,'Master Database'!$A:$A,0))</f>
        <v>33</v>
      </c>
      <c r="I66" s="7" t="str">
        <f aca="false">IF(H66&gt;=80,"A",IF(H66&gt;=60,"B","C"))</f>
        <v>C</v>
      </c>
      <c r="J66" s="7"/>
      <c r="K66" s="7" t="s">
        <v>153</v>
      </c>
      <c r="L66" s="7" t="s">
        <v>241</v>
      </c>
      <c r="M66" s="7" t="s">
        <v>701</v>
      </c>
      <c r="N66" s="7" t="s">
        <v>700</v>
      </c>
    </row>
    <row r="67" customFormat="false" ht="15" hidden="false" customHeight="false" outlineLevel="0" collapsed="false">
      <c r="A67" s="7" t="n">
        <v>66</v>
      </c>
      <c r="B67" s="7" t="s">
        <v>631</v>
      </c>
      <c r="C67" s="7" t="s">
        <v>632</v>
      </c>
      <c r="D67" s="7" t="s">
        <v>45</v>
      </c>
      <c r="E67" s="7" t="s">
        <v>633</v>
      </c>
      <c r="F67" s="7" t="s">
        <v>119</v>
      </c>
      <c r="G67" s="7"/>
      <c r="H67" s="7" t="n">
        <f aca="false">INDEX('Master Database'!$AM:$AM,MATCH(B67,'Master Database'!$A:$A,0))</f>
        <v>33</v>
      </c>
      <c r="I67" s="7" t="str">
        <f aca="false">IF(H67&gt;=80,"A",IF(H67&gt;=60,"B","C"))</f>
        <v>C</v>
      </c>
      <c r="J67" s="7"/>
      <c r="K67" s="7" t="s">
        <v>153</v>
      </c>
      <c r="L67" s="7" t="s">
        <v>241</v>
      </c>
      <c r="M67" s="7" t="s">
        <v>701</v>
      </c>
      <c r="N67" s="7" t="s">
        <v>700</v>
      </c>
    </row>
    <row r="68" customFormat="false" ht="15" hidden="false" customHeight="false" outlineLevel="0" collapsed="false">
      <c r="A68" s="7" t="n">
        <v>67</v>
      </c>
      <c r="B68" s="7" t="s">
        <v>567</v>
      </c>
      <c r="C68" s="7" t="s">
        <v>568</v>
      </c>
      <c r="D68" s="7" t="s">
        <v>45</v>
      </c>
      <c r="E68" s="7" t="s">
        <v>569</v>
      </c>
      <c r="F68" s="7" t="s">
        <v>571</v>
      </c>
      <c r="G68" s="7"/>
      <c r="H68" s="7" t="n">
        <f aca="false">INDEX('Master Database'!$AM:$AM,MATCH(B68,'Master Database'!$A:$A,0))</f>
        <v>33</v>
      </c>
      <c r="I68" s="7" t="str">
        <f aca="false">IF(H68&gt;=80,"A",IF(H68&gt;=60,"B","C"))</f>
        <v>C</v>
      </c>
      <c r="J68" s="7"/>
      <c r="K68" s="7" t="s">
        <v>153</v>
      </c>
      <c r="L68" s="7" t="s">
        <v>241</v>
      </c>
      <c r="M68" s="7" t="s">
        <v>701</v>
      </c>
      <c r="N68" s="7" t="s">
        <v>700</v>
      </c>
    </row>
    <row r="69" customFormat="false" ht="15" hidden="false" customHeight="false" outlineLevel="0" collapsed="false">
      <c r="A69" s="7" t="n">
        <v>68</v>
      </c>
      <c r="B69" s="7" t="s">
        <v>273</v>
      </c>
      <c r="C69" s="7" t="s">
        <v>274</v>
      </c>
      <c r="D69" s="7" t="s">
        <v>45</v>
      </c>
      <c r="E69" s="7" t="s">
        <v>276</v>
      </c>
      <c r="F69" s="7" t="s">
        <v>277</v>
      </c>
      <c r="G69" s="7" t="n">
        <v>46</v>
      </c>
      <c r="H69" s="7" t="n">
        <f aca="false">INDEX('Master Database'!$AM:$AM,MATCH(B69,'Master Database'!$A:$A,0))</f>
        <v>33</v>
      </c>
      <c r="I69" s="7" t="str">
        <f aca="false">IF(H69&gt;=80,"A",IF(H69&gt;=60,"B","C"))</f>
        <v>C</v>
      </c>
      <c r="J69" s="7"/>
      <c r="K69" s="7" t="s">
        <v>153</v>
      </c>
      <c r="L69" s="7" t="s">
        <v>241</v>
      </c>
      <c r="M69" s="7" t="s">
        <v>701</v>
      </c>
      <c r="N69" s="7" t="s">
        <v>700</v>
      </c>
    </row>
    <row r="70" customFormat="false" ht="15" hidden="false" customHeight="false" outlineLevel="0" collapsed="false">
      <c r="A70" s="7" t="n">
        <v>69</v>
      </c>
      <c r="B70" s="7" t="s">
        <v>637</v>
      </c>
      <c r="C70" s="7" t="s">
        <v>638</v>
      </c>
      <c r="D70" s="7" t="s">
        <v>45</v>
      </c>
      <c r="E70" s="7" t="s">
        <v>488</v>
      </c>
      <c r="F70" s="7" t="s">
        <v>48</v>
      </c>
      <c r="G70" s="7"/>
      <c r="H70" s="7" t="n">
        <f aca="false">INDEX('Master Database'!$AM:$AM,MATCH(B70,'Master Database'!$A:$A,0))</f>
        <v>33</v>
      </c>
      <c r="I70" s="7" t="str">
        <f aca="false">IF(H70&gt;=80,"A",IF(H70&gt;=60,"B","C"))</f>
        <v>C</v>
      </c>
      <c r="J70" s="7"/>
      <c r="K70" s="7" t="s">
        <v>153</v>
      </c>
      <c r="L70" s="7" t="s">
        <v>241</v>
      </c>
      <c r="M70" s="7" t="s">
        <v>701</v>
      </c>
      <c r="N70" s="7" t="s">
        <v>700</v>
      </c>
    </row>
    <row r="71" customFormat="false" ht="15" hidden="false" customHeight="false" outlineLevel="0" collapsed="false">
      <c r="A71" s="7" t="n">
        <v>70</v>
      </c>
      <c r="B71" s="7" t="s">
        <v>641</v>
      </c>
      <c r="C71" s="7" t="s">
        <v>642</v>
      </c>
      <c r="D71" s="7" t="s">
        <v>45</v>
      </c>
      <c r="E71" s="7" t="s">
        <v>643</v>
      </c>
      <c r="F71" s="7" t="s">
        <v>119</v>
      </c>
      <c r="G71" s="7"/>
      <c r="H71" s="7" t="n">
        <f aca="false">INDEX('Master Database'!$AM:$AM,MATCH(B71,'Master Database'!$A:$A,0))</f>
        <v>33</v>
      </c>
      <c r="I71" s="7" t="str">
        <f aca="false">IF(H71&gt;=80,"A",IF(H71&gt;=60,"B","C"))</f>
        <v>C</v>
      </c>
      <c r="J71" s="7"/>
      <c r="K71" s="7" t="s">
        <v>153</v>
      </c>
      <c r="L71" s="7" t="s">
        <v>241</v>
      </c>
      <c r="M71" s="7" t="s">
        <v>701</v>
      </c>
      <c r="N71" s="7" t="s">
        <v>700</v>
      </c>
    </row>
    <row r="72" customFormat="false" ht="15" hidden="false" customHeight="false" outlineLevel="0" collapsed="false">
      <c r="A72" s="7" t="n">
        <v>71</v>
      </c>
      <c r="B72" s="7" t="s">
        <v>537</v>
      </c>
      <c r="C72" s="7" t="s">
        <v>538</v>
      </c>
      <c r="D72" s="7" t="s">
        <v>45</v>
      </c>
      <c r="E72" s="7" t="s">
        <v>93</v>
      </c>
      <c r="F72" s="7" t="s">
        <v>277</v>
      </c>
      <c r="G72" s="7"/>
      <c r="H72" s="7" t="n">
        <f aca="false">INDEX('Master Database'!$AM:$AM,MATCH(B72,'Master Database'!$A:$A,0))</f>
        <v>33</v>
      </c>
      <c r="I72" s="7" t="str">
        <f aca="false">IF(H72&gt;=80,"A",IF(H72&gt;=60,"B","C"))</f>
        <v>C</v>
      </c>
      <c r="J72" s="7"/>
      <c r="K72" s="7" t="s">
        <v>153</v>
      </c>
      <c r="L72" s="7" t="s">
        <v>241</v>
      </c>
      <c r="M72" s="7" t="s">
        <v>701</v>
      </c>
      <c r="N72" s="7" t="s">
        <v>700</v>
      </c>
    </row>
    <row r="73" customFormat="false" ht="15" hidden="false" customHeight="false" outlineLevel="0" collapsed="false">
      <c r="A73" s="7" t="n">
        <v>72</v>
      </c>
      <c r="B73" s="7" t="s">
        <v>431</v>
      </c>
      <c r="C73" s="7" t="s">
        <v>432</v>
      </c>
      <c r="D73" s="7" t="s">
        <v>45</v>
      </c>
      <c r="E73" s="7" t="s">
        <v>433</v>
      </c>
      <c r="F73" s="7" t="s">
        <v>119</v>
      </c>
      <c r="G73" s="7"/>
      <c r="H73" s="7" t="n">
        <f aca="false">INDEX('Master Database'!$AM:$AM,MATCH(B73,'Master Database'!$A:$A,0))</f>
        <v>32</v>
      </c>
      <c r="I73" s="7" t="str">
        <f aca="false">IF(H73&gt;=80,"A",IF(H73&gt;=60,"B","C"))</f>
        <v>C</v>
      </c>
      <c r="J73" s="7"/>
      <c r="K73" s="7" t="s">
        <v>153</v>
      </c>
      <c r="L73" s="7" t="s">
        <v>241</v>
      </c>
      <c r="M73" s="7" t="s">
        <v>701</v>
      </c>
      <c r="N73" s="7" t="s">
        <v>700</v>
      </c>
    </row>
    <row r="74" customFormat="false" ht="15" hidden="false" customHeight="false" outlineLevel="0" collapsed="false">
      <c r="A74" s="7" t="n">
        <v>73</v>
      </c>
      <c r="B74" s="7" t="s">
        <v>687</v>
      </c>
      <c r="C74" s="7" t="s">
        <v>688</v>
      </c>
      <c r="D74" s="7" t="s">
        <v>45</v>
      </c>
      <c r="E74" s="7" t="s">
        <v>167</v>
      </c>
      <c r="F74" s="7" t="s">
        <v>277</v>
      </c>
      <c r="G74" s="7"/>
      <c r="H74" s="7" t="n">
        <f aca="false">INDEX('Master Database'!$AM:$AM,MATCH(B74,'Master Database'!$A:$A,0))</f>
        <v>32</v>
      </c>
      <c r="I74" s="7" t="str">
        <f aca="false">IF(H74&gt;=80,"A",IF(H74&gt;=60,"B","C"))</f>
        <v>C</v>
      </c>
      <c r="J74" s="7"/>
      <c r="K74" s="7" t="s">
        <v>153</v>
      </c>
      <c r="L74" s="7" t="s">
        <v>241</v>
      </c>
      <c r="M74" s="7" t="s">
        <v>701</v>
      </c>
      <c r="N74" s="7" t="s">
        <v>700</v>
      </c>
    </row>
    <row r="75" customFormat="false" ht="15" hidden="false" customHeight="false" outlineLevel="0" collapsed="false">
      <c r="A75" s="7" t="n">
        <v>74</v>
      </c>
      <c r="B75" s="7" t="s">
        <v>668</v>
      </c>
      <c r="C75" s="7" t="s">
        <v>669</v>
      </c>
      <c r="D75" s="7" t="s">
        <v>45</v>
      </c>
      <c r="E75" s="7" t="s">
        <v>670</v>
      </c>
      <c r="F75" s="7" t="s">
        <v>48</v>
      </c>
      <c r="G75" s="7" t="n">
        <v>60</v>
      </c>
      <c r="H75" s="7" t="n">
        <f aca="false">INDEX('Master Database'!$AM:$AM,MATCH(B75,'Master Database'!$A:$A,0))</f>
        <v>32</v>
      </c>
      <c r="I75" s="7" t="str">
        <f aca="false">IF(H75&gt;=80,"A",IF(H75&gt;=60,"B","C"))</f>
        <v>C</v>
      </c>
      <c r="J75" s="7"/>
      <c r="K75" s="7" t="s">
        <v>153</v>
      </c>
      <c r="L75" s="7" t="s">
        <v>241</v>
      </c>
      <c r="M75" s="7" t="s">
        <v>700</v>
      </c>
      <c r="N75" s="7" t="s">
        <v>700</v>
      </c>
    </row>
    <row r="76" customFormat="false" ht="15" hidden="false" customHeight="false" outlineLevel="0" collapsed="false">
      <c r="A76" s="7" t="n">
        <v>75</v>
      </c>
      <c r="B76" s="7" t="s">
        <v>455</v>
      </c>
      <c r="C76" s="7" t="s">
        <v>456</v>
      </c>
      <c r="D76" s="7" t="s">
        <v>45</v>
      </c>
      <c r="E76" s="7" t="s">
        <v>457</v>
      </c>
      <c r="F76" s="7" t="s">
        <v>104</v>
      </c>
      <c r="G76" s="7"/>
      <c r="H76" s="7" t="n">
        <f aca="false">INDEX('Master Database'!$AM:$AM,MATCH(B76,'Master Database'!$A:$A,0))</f>
        <v>30</v>
      </c>
      <c r="I76" s="7" t="str">
        <f aca="false">IF(H76&gt;=80,"A",IF(H76&gt;=60,"B","C"))</f>
        <v>C</v>
      </c>
      <c r="J76" s="7" t="s">
        <v>461</v>
      </c>
      <c r="K76" s="7" t="s">
        <v>207</v>
      </c>
      <c r="L76" s="7" t="s">
        <v>97</v>
      </c>
      <c r="M76" s="7" t="s">
        <v>701</v>
      </c>
      <c r="N76" s="7" t="s">
        <v>701</v>
      </c>
    </row>
    <row r="77" customFormat="false" ht="15" hidden="false" customHeight="false" outlineLevel="0" collapsed="false">
      <c r="A77" s="7" t="n">
        <v>76</v>
      </c>
      <c r="B77" s="7" t="s">
        <v>465</v>
      </c>
      <c r="C77" s="7" t="s">
        <v>466</v>
      </c>
      <c r="D77" s="7" t="s">
        <v>45</v>
      </c>
      <c r="E77" s="7" t="s">
        <v>467</v>
      </c>
      <c r="F77" s="7" t="s">
        <v>104</v>
      </c>
      <c r="G77" s="7"/>
      <c r="H77" s="7" t="n">
        <f aca="false">INDEX('Master Database'!$AM:$AM,MATCH(B77,'Master Database'!$A:$A,0))</f>
        <v>30</v>
      </c>
      <c r="I77" s="7" t="str">
        <f aca="false">IF(H77&gt;=80,"A",IF(H77&gt;=60,"B","C"))</f>
        <v>C</v>
      </c>
      <c r="J77" s="7" t="s">
        <v>471</v>
      </c>
      <c r="K77" s="7" t="s">
        <v>207</v>
      </c>
      <c r="L77" s="7" t="s">
        <v>97</v>
      </c>
      <c r="M77" s="7" t="s">
        <v>701</v>
      </c>
      <c r="N77" s="7" t="s">
        <v>701</v>
      </c>
    </row>
    <row r="78" customFormat="false" ht="15" hidden="false" customHeight="false" outlineLevel="0" collapsed="false">
      <c r="A78" s="7" t="n">
        <v>77</v>
      </c>
      <c r="B78" s="7" t="s">
        <v>287</v>
      </c>
      <c r="C78" s="7" t="s">
        <v>288</v>
      </c>
      <c r="D78" s="7" t="s">
        <v>45</v>
      </c>
      <c r="E78" s="7"/>
      <c r="F78" s="7" t="s">
        <v>119</v>
      </c>
      <c r="G78" s="7"/>
      <c r="H78" s="7" t="n">
        <f aca="false">INDEX('Master Database'!$AM:$AM,MATCH(B78,'Master Database'!$A:$A,0))</f>
        <v>30</v>
      </c>
      <c r="I78" s="7" t="str">
        <f aca="false">IF(H78&gt;=80,"A",IF(H78&gt;=60,"B","C"))</f>
        <v>C</v>
      </c>
      <c r="J78" s="7" t="s">
        <v>294</v>
      </c>
      <c r="K78" s="7" t="s">
        <v>207</v>
      </c>
      <c r="L78" s="7" t="s">
        <v>97</v>
      </c>
      <c r="M78" s="7" t="s">
        <v>701</v>
      </c>
      <c r="N78" s="7" t="s">
        <v>701</v>
      </c>
    </row>
    <row r="79" customFormat="false" ht="15" hidden="false" customHeight="false" outlineLevel="0" collapsed="false">
      <c r="A79" s="7" t="n">
        <v>78</v>
      </c>
      <c r="B79" s="7" t="s">
        <v>185</v>
      </c>
      <c r="C79" s="7" t="s">
        <v>186</v>
      </c>
      <c r="D79" s="7" t="s">
        <v>45</v>
      </c>
      <c r="E79" s="7" t="s">
        <v>187</v>
      </c>
      <c r="F79" s="7" t="s">
        <v>48</v>
      </c>
      <c r="G79" s="7"/>
      <c r="H79" s="7" t="n">
        <f aca="false">INDEX('Master Database'!$AM:$AM,MATCH(B79,'Master Database'!$A:$A,0))</f>
        <v>29</v>
      </c>
      <c r="I79" s="7" t="str">
        <f aca="false">IF(H79&gt;=80,"A",IF(H79&gt;=60,"B","C"))</f>
        <v>C</v>
      </c>
      <c r="J79" s="7" t="s">
        <v>191</v>
      </c>
      <c r="K79" s="7" t="s">
        <v>63</v>
      </c>
      <c r="L79" s="7" t="s">
        <v>64</v>
      </c>
      <c r="M79" s="7" t="s">
        <v>701</v>
      </c>
      <c r="N79" s="7" t="s">
        <v>701</v>
      </c>
    </row>
    <row r="80" customFormat="false" ht="15" hidden="false" customHeight="false" outlineLevel="0" collapsed="false">
      <c r="A80" s="7" t="n">
        <v>79</v>
      </c>
      <c r="B80" s="7" t="s">
        <v>91</v>
      </c>
      <c r="C80" s="7" t="s">
        <v>92</v>
      </c>
      <c r="D80" s="7" t="s">
        <v>45</v>
      </c>
      <c r="E80" s="7" t="s">
        <v>93</v>
      </c>
      <c r="F80" s="7" t="s">
        <v>48</v>
      </c>
      <c r="G80" s="7"/>
      <c r="H80" s="7" t="n">
        <f aca="false">INDEX('Master Database'!$AM:$AM,MATCH(B80,'Master Database'!$A:$A,0))</f>
        <v>29</v>
      </c>
      <c r="I80" s="7" t="str">
        <f aca="false">IF(H80&gt;=80,"A",IF(H80&gt;=60,"B","C"))</f>
        <v>C</v>
      </c>
      <c r="J80" s="7" t="s">
        <v>95</v>
      </c>
      <c r="K80" s="7" t="s">
        <v>63</v>
      </c>
      <c r="L80" s="7" t="s">
        <v>97</v>
      </c>
      <c r="M80" s="7" t="s">
        <v>701</v>
      </c>
      <c r="N80" s="7" t="s">
        <v>701</v>
      </c>
    </row>
    <row r="81" customFormat="false" ht="15" hidden="false" customHeight="false" outlineLevel="0" collapsed="false">
      <c r="A81" s="7" t="n">
        <v>80</v>
      </c>
      <c r="B81" s="7" t="s">
        <v>99</v>
      </c>
      <c r="C81" s="7" t="s">
        <v>100</v>
      </c>
      <c r="D81" s="7" t="s">
        <v>45</v>
      </c>
      <c r="E81" s="7" t="s">
        <v>102</v>
      </c>
      <c r="F81" s="7" t="s">
        <v>104</v>
      </c>
      <c r="G81" s="7"/>
      <c r="H81" s="7" t="n">
        <f aca="false">INDEX('Master Database'!$AM:$AM,MATCH(B81,'Master Database'!$A:$A,0))</f>
        <v>29</v>
      </c>
      <c r="I81" s="7" t="str">
        <f aca="false">IF(H81&gt;=80,"A",IF(H81&gt;=60,"B","C"))</f>
        <v>C</v>
      </c>
      <c r="J81" s="7" t="s">
        <v>108</v>
      </c>
      <c r="K81" s="7" t="s">
        <v>63</v>
      </c>
      <c r="L81" s="7" t="s">
        <v>64</v>
      </c>
      <c r="M81" s="7" t="s">
        <v>701</v>
      </c>
      <c r="N81" s="7" t="s">
        <v>701</v>
      </c>
    </row>
    <row r="82" customFormat="false" ht="15" hidden="false" customHeight="false" outlineLevel="0" collapsed="false">
      <c r="A82" s="7" t="n">
        <v>81</v>
      </c>
      <c r="B82" s="7" t="s">
        <v>684</v>
      </c>
      <c r="C82" s="7" t="s">
        <v>685</v>
      </c>
      <c r="D82" s="7" t="s">
        <v>45</v>
      </c>
      <c r="E82" s="7"/>
      <c r="F82" s="7" t="s">
        <v>277</v>
      </c>
      <c r="G82" s="7"/>
      <c r="H82" s="7" t="n">
        <f aca="false">INDEX('Master Database'!$AM:$AM,MATCH(B82,'Master Database'!$A:$A,0))</f>
        <v>28</v>
      </c>
      <c r="I82" s="7" t="str">
        <f aca="false">IF(H82&gt;=80,"A",IF(H82&gt;=60,"B","C"))</f>
        <v>C</v>
      </c>
      <c r="J82" s="7"/>
      <c r="K82" s="7" t="s">
        <v>153</v>
      </c>
      <c r="L82" s="7" t="s">
        <v>241</v>
      </c>
      <c r="M82" s="7" t="s">
        <v>701</v>
      </c>
      <c r="N82" s="7" t="s">
        <v>700</v>
      </c>
    </row>
    <row r="83" customFormat="false" ht="15" hidden="false" customHeight="false" outlineLevel="0" collapsed="false">
      <c r="A83" s="7" t="n">
        <v>82</v>
      </c>
      <c r="B83" s="7" t="s">
        <v>475</v>
      </c>
      <c r="C83" s="7" t="s">
        <v>476</v>
      </c>
      <c r="D83" s="7" t="s">
        <v>45</v>
      </c>
      <c r="E83" s="7"/>
      <c r="F83" s="7" t="s">
        <v>357</v>
      </c>
      <c r="G83" s="7"/>
      <c r="H83" s="7" t="n">
        <f aca="false">INDEX('Master Database'!$AM:$AM,MATCH(B83,'Master Database'!$A:$A,0))</f>
        <v>22</v>
      </c>
      <c r="I83" s="7" t="str">
        <f aca="false">IF(H83&gt;=80,"A",IF(H83&gt;=60,"B","C"))</f>
        <v>C</v>
      </c>
      <c r="J83" s="7"/>
      <c r="K83" s="7" t="s">
        <v>153</v>
      </c>
      <c r="L83" s="7" t="s">
        <v>241</v>
      </c>
      <c r="M83" s="7" t="s">
        <v>701</v>
      </c>
      <c r="N83" s="7" t="s">
        <v>700</v>
      </c>
    </row>
    <row r="84" customFormat="false" ht="15" hidden="false" customHeight="false" outlineLevel="0" collapsed="false">
      <c r="A84" s="7" t="n">
        <v>83</v>
      </c>
      <c r="B84" s="7" t="s">
        <v>676</v>
      </c>
      <c r="C84" s="7" t="s">
        <v>677</v>
      </c>
      <c r="D84" s="7" t="s">
        <v>45</v>
      </c>
      <c r="E84" s="7"/>
      <c r="F84" s="7" t="s">
        <v>357</v>
      </c>
      <c r="G84" s="7"/>
      <c r="H84" s="7" t="n">
        <f aca="false">INDEX('Master Database'!$AM:$AM,MATCH(B84,'Master Database'!$A:$A,0))</f>
        <v>22</v>
      </c>
      <c r="I84" s="7" t="str">
        <f aca="false">IF(H84&gt;=80,"A",IF(H84&gt;=60,"B","C"))</f>
        <v>C</v>
      </c>
      <c r="J84" s="7"/>
      <c r="K84" s="7" t="s">
        <v>153</v>
      </c>
      <c r="L84" s="7" t="s">
        <v>241</v>
      </c>
      <c r="M84" s="7" t="s">
        <v>701</v>
      </c>
      <c r="N84" s="7" t="s">
        <v>700</v>
      </c>
    </row>
    <row r="85" customFormat="false" ht="15" hidden="false" customHeight="false" outlineLevel="0" collapsed="false">
      <c r="A85" s="7" t="n">
        <v>84</v>
      </c>
      <c r="B85" s="7" t="s">
        <v>673</v>
      </c>
      <c r="C85" s="7" t="s">
        <v>674</v>
      </c>
      <c r="D85" s="7" t="s">
        <v>45</v>
      </c>
      <c r="E85" s="7"/>
      <c r="F85" s="7" t="s">
        <v>48</v>
      </c>
      <c r="G85" s="7"/>
      <c r="H85" s="7" t="n">
        <f aca="false">INDEX('Master Database'!$AM:$AM,MATCH(B85,'Master Database'!$A:$A,0))</f>
        <v>22</v>
      </c>
      <c r="I85" s="7" t="str">
        <f aca="false">IF(H85&gt;=80,"A",IF(H85&gt;=60,"B","C"))</f>
        <v>C</v>
      </c>
      <c r="J85" s="7"/>
      <c r="K85" s="7" t="s">
        <v>153</v>
      </c>
      <c r="L85" s="7" t="s">
        <v>241</v>
      </c>
      <c r="M85" s="7" t="s">
        <v>701</v>
      </c>
      <c r="N85" s="7" t="s">
        <v>700</v>
      </c>
    </row>
    <row r="86" customFormat="false" ht="15" hidden="false" customHeight="false" outlineLevel="0" collapsed="false">
      <c r="A86" s="7" t="n">
        <v>85</v>
      </c>
      <c r="B86" s="7" t="s">
        <v>679</v>
      </c>
      <c r="C86" s="7" t="s">
        <v>680</v>
      </c>
      <c r="D86" s="7" t="s">
        <v>45</v>
      </c>
      <c r="E86" s="7"/>
      <c r="F86" s="7" t="s">
        <v>681</v>
      </c>
      <c r="G86" s="7"/>
      <c r="H86" s="7" t="n">
        <f aca="false">INDEX('Master Database'!$AM:$AM,MATCH(B86,'Master Database'!$A:$A,0))</f>
        <v>22</v>
      </c>
      <c r="I86" s="7" t="str">
        <f aca="false">IF(H86&gt;=80,"A",IF(H86&gt;=60,"B","C"))</f>
        <v>C</v>
      </c>
      <c r="J86" s="7"/>
      <c r="K86" s="7" t="s">
        <v>153</v>
      </c>
      <c r="L86" s="7" t="s">
        <v>154</v>
      </c>
      <c r="M86" s="7" t="s">
        <v>702</v>
      </c>
      <c r="N86" s="7" t="s">
        <v>700</v>
      </c>
    </row>
  </sheetData>
  <autoFilter ref="A1:N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6"/>
    <col collapsed="false" customWidth="true" hidden="false" outlineLevel="0" max="4" min="4" style="0" width="28"/>
    <col collapsed="false" customWidth="true" hidden="false" outlineLevel="0" max="5" min="5" style="0" width="18"/>
    <col collapsed="false" customWidth="true" hidden="false" outlineLevel="0" max="6" min="6" style="0" width="14"/>
    <col collapsed="false" customWidth="true" hidden="false" outlineLevel="0" max="7" min="7" style="0" width="50"/>
    <col collapsed="false" customWidth="true" hidden="false" outlineLevel="0" max="9" min="8" style="0" width="12"/>
    <col collapsed="false" customWidth="true" hidden="false" outlineLevel="0" max="10" min="10" style="0" width="10"/>
    <col collapsed="false" customWidth="true" hidden="false" outlineLevel="0" max="11" min="11" style="0" width="40"/>
  </cols>
  <sheetData>
    <row r="1" customFormat="false" ht="30" hidden="false" customHeight="true" outlineLevel="0" collapsed="false">
      <c r="A1" s="1" t="s">
        <v>0</v>
      </c>
      <c r="B1" s="1" t="s">
        <v>695</v>
      </c>
      <c r="C1" s="1" t="s">
        <v>703</v>
      </c>
      <c r="D1" s="1" t="s">
        <v>704</v>
      </c>
      <c r="E1" s="1" t="s">
        <v>705</v>
      </c>
      <c r="F1" s="1" t="s">
        <v>706</v>
      </c>
      <c r="G1" s="1" t="s">
        <v>707</v>
      </c>
      <c r="H1" s="1" t="s">
        <v>708</v>
      </c>
      <c r="I1" s="1" t="s">
        <v>709</v>
      </c>
      <c r="J1" s="1" t="s">
        <v>710</v>
      </c>
      <c r="K1" s="1" t="s">
        <v>40</v>
      </c>
    </row>
    <row r="2" customFormat="false" ht="15" hidden="false" customHeight="false" outlineLevel="0" collapsed="false">
      <c r="A2" s="7" t="s">
        <v>43</v>
      </c>
      <c r="B2" s="7" t="s">
        <v>44</v>
      </c>
      <c r="C2" s="7" t="s">
        <v>711</v>
      </c>
      <c r="D2" s="7" t="s">
        <v>54</v>
      </c>
      <c r="E2" s="7" t="s">
        <v>695</v>
      </c>
      <c r="F2" s="7" t="s">
        <v>63</v>
      </c>
      <c r="G2" s="8" t="s">
        <v>53</v>
      </c>
      <c r="H2" s="7" t="s">
        <v>712</v>
      </c>
      <c r="I2" s="7" t="s">
        <v>66</v>
      </c>
      <c r="J2" s="7" t="s">
        <v>700</v>
      </c>
      <c r="K2" s="7"/>
    </row>
    <row r="3" customFormat="false" ht="15" hidden="false" customHeight="false" outlineLevel="0" collapsed="false">
      <c r="A3" s="7" t="s">
        <v>43</v>
      </c>
      <c r="B3" s="7" t="s">
        <v>44</v>
      </c>
      <c r="C3" s="7" t="s">
        <v>18</v>
      </c>
      <c r="D3" s="7" t="s">
        <v>55</v>
      </c>
      <c r="E3" s="7" t="s">
        <v>695</v>
      </c>
      <c r="F3" s="7" t="s">
        <v>63</v>
      </c>
      <c r="G3" s="8" t="s">
        <v>53</v>
      </c>
      <c r="H3" s="7" t="s">
        <v>712</v>
      </c>
      <c r="I3" s="7" t="s">
        <v>66</v>
      </c>
      <c r="J3" s="7" t="s">
        <v>700</v>
      </c>
      <c r="K3" s="7"/>
    </row>
    <row r="4" customFormat="false" ht="15" hidden="false" customHeight="false" outlineLevel="0" collapsed="false">
      <c r="A4" s="7" t="s">
        <v>43</v>
      </c>
      <c r="B4" s="7" t="s">
        <v>44</v>
      </c>
      <c r="C4" s="7" t="s">
        <v>713</v>
      </c>
      <c r="D4" s="7" t="s">
        <v>714</v>
      </c>
      <c r="E4" s="7" t="s">
        <v>695</v>
      </c>
      <c r="F4" s="7" t="s">
        <v>63</v>
      </c>
      <c r="G4" s="8" t="s">
        <v>53</v>
      </c>
      <c r="H4" s="7" t="s">
        <v>712</v>
      </c>
      <c r="I4" s="7" t="s">
        <v>66</v>
      </c>
      <c r="J4" s="7" t="s">
        <v>700</v>
      </c>
      <c r="K4" s="7"/>
    </row>
    <row r="5" customFormat="false" ht="15" hidden="false" customHeight="false" outlineLevel="0" collapsed="false">
      <c r="A5" s="7" t="s">
        <v>43</v>
      </c>
      <c r="B5" s="7" t="s">
        <v>44</v>
      </c>
      <c r="C5" s="7" t="s">
        <v>715</v>
      </c>
      <c r="D5" s="7" t="s">
        <v>716</v>
      </c>
      <c r="E5" s="7" t="s">
        <v>695</v>
      </c>
      <c r="F5" s="7" t="s">
        <v>63</v>
      </c>
      <c r="G5" s="8" t="s">
        <v>53</v>
      </c>
      <c r="H5" s="7" t="s">
        <v>712</v>
      </c>
      <c r="I5" s="7" t="s">
        <v>66</v>
      </c>
      <c r="J5" s="7" t="s">
        <v>700</v>
      </c>
      <c r="K5" s="7"/>
    </row>
    <row r="6" customFormat="false" ht="15" hidden="false" customHeight="false" outlineLevel="0" collapsed="false">
      <c r="A6" s="7" t="s">
        <v>67</v>
      </c>
      <c r="B6" s="7" t="s">
        <v>68</v>
      </c>
      <c r="C6" s="7" t="s">
        <v>711</v>
      </c>
      <c r="D6" s="7" t="s">
        <v>72</v>
      </c>
      <c r="E6" s="7" t="s">
        <v>695</v>
      </c>
      <c r="F6" s="7" t="s">
        <v>63</v>
      </c>
      <c r="G6" s="8" t="s">
        <v>71</v>
      </c>
      <c r="H6" s="7" t="s">
        <v>712</v>
      </c>
      <c r="I6" s="7" t="s">
        <v>66</v>
      </c>
      <c r="J6" s="7" t="s">
        <v>700</v>
      </c>
      <c r="K6" s="7"/>
    </row>
    <row r="7" customFormat="false" ht="15" hidden="false" customHeight="false" outlineLevel="0" collapsed="false">
      <c r="A7" s="7" t="s">
        <v>67</v>
      </c>
      <c r="B7" s="7" t="s">
        <v>68</v>
      </c>
      <c r="C7" s="7" t="s">
        <v>18</v>
      </c>
      <c r="D7" s="7" t="s">
        <v>73</v>
      </c>
      <c r="E7" s="7" t="s">
        <v>695</v>
      </c>
      <c r="F7" s="7" t="s">
        <v>63</v>
      </c>
      <c r="G7" s="8" t="s">
        <v>71</v>
      </c>
      <c r="H7" s="7" t="s">
        <v>712</v>
      </c>
      <c r="I7" s="7" t="s">
        <v>66</v>
      </c>
      <c r="J7" s="7" t="s">
        <v>700</v>
      </c>
      <c r="K7" s="7"/>
    </row>
    <row r="8" customFormat="false" ht="15" hidden="false" customHeight="false" outlineLevel="0" collapsed="false">
      <c r="A8" s="7" t="s">
        <v>67</v>
      </c>
      <c r="B8" s="7" t="s">
        <v>68</v>
      </c>
      <c r="C8" s="7" t="s">
        <v>715</v>
      </c>
      <c r="D8" s="7" t="s">
        <v>74</v>
      </c>
      <c r="E8" s="7" t="s">
        <v>695</v>
      </c>
      <c r="F8" s="7" t="s">
        <v>63</v>
      </c>
      <c r="G8" s="8" t="s">
        <v>71</v>
      </c>
      <c r="H8" s="7" t="s">
        <v>712</v>
      </c>
      <c r="I8" s="7" t="s">
        <v>66</v>
      </c>
      <c r="J8" s="7" t="s">
        <v>700</v>
      </c>
      <c r="K8" s="7"/>
    </row>
    <row r="9" customFormat="false" ht="15" hidden="false" customHeight="false" outlineLevel="0" collapsed="false">
      <c r="A9" s="7" t="s">
        <v>80</v>
      </c>
      <c r="B9" s="7" t="s">
        <v>81</v>
      </c>
      <c r="C9" s="7" t="s">
        <v>711</v>
      </c>
      <c r="D9" s="7" t="s">
        <v>84</v>
      </c>
      <c r="E9" s="7" t="s">
        <v>695</v>
      </c>
      <c r="F9" s="7" t="s">
        <v>63</v>
      </c>
      <c r="G9" s="8" t="s">
        <v>717</v>
      </c>
      <c r="H9" s="7" t="s">
        <v>712</v>
      </c>
      <c r="I9" s="7" t="s">
        <v>66</v>
      </c>
      <c r="J9" s="7" t="s">
        <v>700</v>
      </c>
      <c r="K9" s="7"/>
    </row>
    <row r="10" customFormat="false" ht="15" hidden="false" customHeight="false" outlineLevel="0" collapsed="false">
      <c r="A10" s="7" t="s">
        <v>91</v>
      </c>
      <c r="B10" s="7" t="s">
        <v>92</v>
      </c>
      <c r="C10" s="7" t="s">
        <v>18</v>
      </c>
      <c r="D10" s="7" t="s">
        <v>95</v>
      </c>
      <c r="E10" s="7" t="s">
        <v>695</v>
      </c>
      <c r="F10" s="7" t="s">
        <v>63</v>
      </c>
      <c r="G10" s="8" t="s">
        <v>94</v>
      </c>
      <c r="H10" s="7" t="s">
        <v>712</v>
      </c>
      <c r="I10" s="7" t="s">
        <v>66</v>
      </c>
      <c r="J10" s="7" t="s">
        <v>700</v>
      </c>
      <c r="K10" s="7"/>
    </row>
    <row r="11" customFormat="false" ht="15" hidden="false" customHeight="false" outlineLevel="0" collapsed="false">
      <c r="A11" s="7" t="s">
        <v>91</v>
      </c>
      <c r="B11" s="7" t="s">
        <v>92</v>
      </c>
      <c r="C11" s="7" t="s">
        <v>718</v>
      </c>
      <c r="D11" s="7" t="s">
        <v>96</v>
      </c>
      <c r="E11" s="7" t="s">
        <v>695</v>
      </c>
      <c r="F11" s="7" t="s">
        <v>63</v>
      </c>
      <c r="G11" s="8" t="s">
        <v>94</v>
      </c>
      <c r="H11" s="7" t="s">
        <v>712</v>
      </c>
      <c r="I11" s="7" t="s">
        <v>66</v>
      </c>
      <c r="J11" s="7" t="s">
        <v>700</v>
      </c>
      <c r="K11" s="7"/>
    </row>
    <row r="12" customFormat="false" ht="15" hidden="false" customHeight="false" outlineLevel="0" collapsed="false">
      <c r="A12" s="7" t="s">
        <v>99</v>
      </c>
      <c r="B12" s="7" t="s">
        <v>100</v>
      </c>
      <c r="C12" s="7" t="s">
        <v>711</v>
      </c>
      <c r="D12" s="7" t="s">
        <v>108</v>
      </c>
      <c r="E12" s="7" t="s">
        <v>695</v>
      </c>
      <c r="F12" s="7" t="s">
        <v>63</v>
      </c>
      <c r="G12" s="8" t="s">
        <v>107</v>
      </c>
      <c r="H12" s="7" t="s">
        <v>712</v>
      </c>
      <c r="I12" s="7" t="s">
        <v>66</v>
      </c>
      <c r="J12" s="7" t="s">
        <v>700</v>
      </c>
      <c r="K12" s="7"/>
    </row>
    <row r="13" customFormat="false" ht="15" hidden="false" customHeight="false" outlineLevel="0" collapsed="false">
      <c r="A13" s="7" t="s">
        <v>99</v>
      </c>
      <c r="B13" s="7" t="s">
        <v>100</v>
      </c>
      <c r="C13" s="7" t="s">
        <v>18</v>
      </c>
      <c r="D13" s="7" t="s">
        <v>109</v>
      </c>
      <c r="E13" s="7" t="s">
        <v>695</v>
      </c>
      <c r="F13" s="7" t="s">
        <v>63</v>
      </c>
      <c r="G13" s="8" t="s">
        <v>107</v>
      </c>
      <c r="H13" s="7" t="s">
        <v>712</v>
      </c>
      <c r="I13" s="7" t="s">
        <v>66</v>
      </c>
      <c r="J13" s="7" t="s">
        <v>700</v>
      </c>
      <c r="K13" s="7"/>
    </row>
    <row r="14" customFormat="false" ht="15" hidden="false" customHeight="false" outlineLevel="0" collapsed="false">
      <c r="A14" s="7" t="s">
        <v>99</v>
      </c>
      <c r="B14" s="7" t="s">
        <v>100</v>
      </c>
      <c r="C14" s="7" t="s">
        <v>719</v>
      </c>
      <c r="D14" s="7" t="s">
        <v>720</v>
      </c>
      <c r="E14" s="7" t="s">
        <v>695</v>
      </c>
      <c r="F14" s="7" t="s">
        <v>63</v>
      </c>
      <c r="G14" s="8" t="s">
        <v>107</v>
      </c>
      <c r="H14" s="7" t="s">
        <v>712</v>
      </c>
      <c r="I14" s="7" t="s">
        <v>66</v>
      </c>
      <c r="J14" s="7" t="s">
        <v>700</v>
      </c>
      <c r="K14" s="7"/>
    </row>
    <row r="15" customFormat="false" ht="15" hidden="false" customHeight="false" outlineLevel="0" collapsed="false">
      <c r="A15" s="7" t="s">
        <v>115</v>
      </c>
      <c r="B15" s="7" t="s">
        <v>116</v>
      </c>
      <c r="C15" s="7" t="s">
        <v>721</v>
      </c>
      <c r="D15" s="7" t="s">
        <v>123</v>
      </c>
      <c r="E15" s="7" t="s">
        <v>722</v>
      </c>
      <c r="F15" s="7" t="s">
        <v>63</v>
      </c>
      <c r="G15" s="8" t="s">
        <v>122</v>
      </c>
      <c r="H15" s="7" t="s">
        <v>712</v>
      </c>
      <c r="I15" s="7" t="s">
        <v>66</v>
      </c>
      <c r="J15" s="7" t="s">
        <v>700</v>
      </c>
      <c r="K15" s="7" t="s">
        <v>723</v>
      </c>
    </row>
    <row r="16" customFormat="false" ht="15" hidden="false" customHeight="false" outlineLevel="0" collapsed="false">
      <c r="A16" s="7" t="s">
        <v>115</v>
      </c>
      <c r="B16" s="7" t="s">
        <v>116</v>
      </c>
      <c r="C16" s="7" t="s">
        <v>721</v>
      </c>
      <c r="D16" s="7" t="s">
        <v>724</v>
      </c>
      <c r="E16" s="7" t="s">
        <v>722</v>
      </c>
      <c r="F16" s="7" t="s">
        <v>63</v>
      </c>
      <c r="G16" s="8" t="s">
        <v>122</v>
      </c>
      <c r="H16" s="7" t="s">
        <v>712</v>
      </c>
      <c r="I16" s="7" t="s">
        <v>66</v>
      </c>
      <c r="J16" s="7" t="s">
        <v>700</v>
      </c>
      <c r="K16" s="7" t="s">
        <v>725</v>
      </c>
    </row>
    <row r="17" customFormat="false" ht="15" hidden="false" customHeight="false" outlineLevel="0" collapsed="false">
      <c r="A17" s="7" t="s">
        <v>115</v>
      </c>
      <c r="B17" s="7" t="s">
        <v>116</v>
      </c>
      <c r="C17" s="7" t="s">
        <v>726</v>
      </c>
      <c r="D17" s="7" t="s">
        <v>124</v>
      </c>
      <c r="E17" s="7" t="s">
        <v>722</v>
      </c>
      <c r="F17" s="7" t="s">
        <v>63</v>
      </c>
      <c r="G17" s="8" t="s">
        <v>122</v>
      </c>
      <c r="H17" s="7" t="s">
        <v>712</v>
      </c>
      <c r="I17" s="7" t="s">
        <v>66</v>
      </c>
      <c r="J17" s="7" t="s">
        <v>700</v>
      </c>
      <c r="K17" s="7"/>
    </row>
    <row r="18" customFormat="false" ht="15" hidden="false" customHeight="false" outlineLevel="0" collapsed="false">
      <c r="A18" s="7" t="s">
        <v>132</v>
      </c>
      <c r="B18" s="7" t="s">
        <v>133</v>
      </c>
      <c r="C18" s="7" t="s">
        <v>727</v>
      </c>
      <c r="D18" s="7" t="s">
        <v>139</v>
      </c>
      <c r="E18" s="7" t="s">
        <v>722</v>
      </c>
      <c r="F18" s="7" t="s">
        <v>183</v>
      </c>
      <c r="G18" s="8" t="s">
        <v>138</v>
      </c>
      <c r="H18" s="7" t="s">
        <v>712</v>
      </c>
      <c r="I18" s="7" t="s">
        <v>66</v>
      </c>
      <c r="J18" s="7" t="s">
        <v>700</v>
      </c>
      <c r="K18" s="7" t="s">
        <v>728</v>
      </c>
    </row>
    <row r="19" customFormat="false" ht="15" hidden="false" customHeight="false" outlineLevel="0" collapsed="false">
      <c r="A19" s="7" t="s">
        <v>132</v>
      </c>
      <c r="B19" s="7" t="s">
        <v>133</v>
      </c>
      <c r="C19" s="7" t="s">
        <v>726</v>
      </c>
      <c r="D19" s="7" t="s">
        <v>729</v>
      </c>
      <c r="E19" s="7" t="s">
        <v>722</v>
      </c>
      <c r="F19" s="7" t="s">
        <v>63</v>
      </c>
      <c r="G19" s="8" t="s">
        <v>138</v>
      </c>
      <c r="H19" s="7" t="s">
        <v>712</v>
      </c>
      <c r="I19" s="7" t="s">
        <v>66</v>
      </c>
      <c r="J19" s="7" t="s">
        <v>700</v>
      </c>
      <c r="K19" s="7"/>
    </row>
    <row r="20" customFormat="false" ht="15" hidden="false" customHeight="false" outlineLevel="0" collapsed="false">
      <c r="A20" s="7" t="s">
        <v>132</v>
      </c>
      <c r="B20" s="7" t="s">
        <v>133</v>
      </c>
      <c r="C20" s="7" t="s">
        <v>730</v>
      </c>
      <c r="D20" s="7" t="s">
        <v>731</v>
      </c>
      <c r="E20" s="7" t="s">
        <v>722</v>
      </c>
      <c r="F20" s="7" t="s">
        <v>63</v>
      </c>
      <c r="G20" s="8" t="s">
        <v>138</v>
      </c>
      <c r="H20" s="7" t="s">
        <v>712</v>
      </c>
      <c r="I20" s="7" t="s">
        <v>66</v>
      </c>
      <c r="J20" s="7" t="s">
        <v>700</v>
      </c>
      <c r="K20" s="7"/>
    </row>
    <row r="21" customFormat="false" ht="15" hidden="false" customHeight="false" outlineLevel="0" collapsed="false">
      <c r="A21" s="7" t="s">
        <v>165</v>
      </c>
      <c r="B21" s="7" t="s">
        <v>166</v>
      </c>
      <c r="C21" s="7" t="s">
        <v>732</v>
      </c>
      <c r="D21" s="7" t="s">
        <v>171</v>
      </c>
      <c r="E21" s="7" t="s">
        <v>695</v>
      </c>
      <c r="F21" s="7" t="s">
        <v>183</v>
      </c>
      <c r="G21" s="8" t="s">
        <v>170</v>
      </c>
      <c r="H21" s="7" t="s">
        <v>712</v>
      </c>
      <c r="I21" s="7" t="s">
        <v>66</v>
      </c>
      <c r="J21" s="7" t="s">
        <v>700</v>
      </c>
      <c r="K21" s="7" t="s">
        <v>733</v>
      </c>
    </row>
    <row r="22" customFormat="false" ht="15" hidden="false" customHeight="false" outlineLevel="0" collapsed="false">
      <c r="A22" s="7" t="s">
        <v>165</v>
      </c>
      <c r="B22" s="7" t="s">
        <v>166</v>
      </c>
      <c r="C22" s="7" t="s">
        <v>19</v>
      </c>
      <c r="D22" s="7" t="s">
        <v>172</v>
      </c>
      <c r="E22" s="7" t="s">
        <v>695</v>
      </c>
      <c r="F22" s="7" t="s">
        <v>63</v>
      </c>
      <c r="G22" s="8" t="s">
        <v>170</v>
      </c>
      <c r="H22" s="7" t="s">
        <v>712</v>
      </c>
      <c r="I22" s="7" t="s">
        <v>66</v>
      </c>
      <c r="J22" s="7" t="s">
        <v>700</v>
      </c>
      <c r="K22" s="7" t="s">
        <v>734</v>
      </c>
    </row>
    <row r="23" customFormat="false" ht="15" hidden="false" customHeight="false" outlineLevel="0" collapsed="false">
      <c r="A23" s="7" t="s">
        <v>165</v>
      </c>
      <c r="B23" s="7" t="s">
        <v>166</v>
      </c>
      <c r="C23" s="7" t="s">
        <v>718</v>
      </c>
      <c r="D23" s="7" t="s">
        <v>735</v>
      </c>
      <c r="E23" s="7" t="s">
        <v>695</v>
      </c>
      <c r="F23" s="7" t="s">
        <v>63</v>
      </c>
      <c r="G23" s="8" t="s">
        <v>170</v>
      </c>
      <c r="H23" s="7" t="s">
        <v>712</v>
      </c>
      <c r="I23" s="7" t="s">
        <v>66</v>
      </c>
      <c r="J23" s="7" t="s">
        <v>700</v>
      </c>
      <c r="K23" s="7"/>
    </row>
    <row r="24" customFormat="false" ht="15" hidden="false" customHeight="false" outlineLevel="0" collapsed="false">
      <c r="A24" s="7" t="s">
        <v>165</v>
      </c>
      <c r="B24" s="7" t="s">
        <v>166</v>
      </c>
      <c r="C24" s="7" t="s">
        <v>736</v>
      </c>
      <c r="D24" s="7" t="s">
        <v>737</v>
      </c>
      <c r="E24" s="7" t="s">
        <v>695</v>
      </c>
      <c r="F24" s="7" t="s">
        <v>63</v>
      </c>
      <c r="G24" s="8" t="s">
        <v>170</v>
      </c>
      <c r="H24" s="7" t="s">
        <v>712</v>
      </c>
      <c r="I24" s="7" t="s">
        <v>66</v>
      </c>
      <c r="J24" s="7" t="s">
        <v>700</v>
      </c>
      <c r="K24" s="7"/>
    </row>
    <row r="25" customFormat="false" ht="15" hidden="false" customHeight="false" outlineLevel="0" collapsed="false">
      <c r="A25" s="7" t="s">
        <v>175</v>
      </c>
      <c r="B25" s="7" t="s">
        <v>176</v>
      </c>
      <c r="C25" s="7" t="s">
        <v>18</v>
      </c>
      <c r="D25" s="7" t="s">
        <v>181</v>
      </c>
      <c r="E25" s="7" t="s">
        <v>695</v>
      </c>
      <c r="F25" s="7" t="s">
        <v>183</v>
      </c>
      <c r="G25" s="8" t="s">
        <v>180</v>
      </c>
      <c r="H25" s="7" t="s">
        <v>712</v>
      </c>
      <c r="I25" s="7" t="s">
        <v>66</v>
      </c>
      <c r="J25" s="7" t="s">
        <v>700</v>
      </c>
      <c r="K25" s="7" t="s">
        <v>738</v>
      </c>
    </row>
    <row r="26" customFormat="false" ht="15" hidden="false" customHeight="false" outlineLevel="0" collapsed="false">
      <c r="A26" s="7" t="s">
        <v>175</v>
      </c>
      <c r="B26" s="7" t="s">
        <v>176</v>
      </c>
      <c r="C26" s="7" t="s">
        <v>718</v>
      </c>
      <c r="D26" s="7" t="s">
        <v>182</v>
      </c>
      <c r="E26" s="7" t="s">
        <v>695</v>
      </c>
      <c r="F26" s="7" t="s">
        <v>183</v>
      </c>
      <c r="G26" s="8" t="s">
        <v>180</v>
      </c>
      <c r="H26" s="7" t="s">
        <v>712</v>
      </c>
      <c r="I26" s="7" t="s">
        <v>66</v>
      </c>
      <c r="J26" s="7" t="s">
        <v>700</v>
      </c>
      <c r="K26" s="7"/>
    </row>
    <row r="27" customFormat="false" ht="15" hidden="false" customHeight="false" outlineLevel="0" collapsed="false">
      <c r="A27" s="7" t="s">
        <v>185</v>
      </c>
      <c r="B27" s="7" t="s">
        <v>186</v>
      </c>
      <c r="C27" s="7" t="s">
        <v>718</v>
      </c>
      <c r="D27" s="7" t="s">
        <v>191</v>
      </c>
      <c r="E27" s="7" t="s">
        <v>695</v>
      </c>
      <c r="F27" s="7" t="s">
        <v>63</v>
      </c>
      <c r="G27" s="8" t="s">
        <v>190</v>
      </c>
      <c r="H27" s="7" t="s">
        <v>712</v>
      </c>
      <c r="I27" s="7" t="s">
        <v>66</v>
      </c>
      <c r="J27" s="7" t="s">
        <v>700</v>
      </c>
      <c r="K27" s="7"/>
    </row>
    <row r="28" customFormat="false" ht="15" hidden="false" customHeight="false" outlineLevel="0" collapsed="false">
      <c r="A28" s="7" t="s">
        <v>196</v>
      </c>
      <c r="B28" s="7" t="s">
        <v>197</v>
      </c>
      <c r="C28" s="7" t="s">
        <v>739</v>
      </c>
      <c r="D28" s="7" t="s">
        <v>201</v>
      </c>
      <c r="E28" s="7" t="s">
        <v>740</v>
      </c>
      <c r="F28" s="7" t="s">
        <v>207</v>
      </c>
      <c r="G28" s="8" t="s">
        <v>206</v>
      </c>
      <c r="H28" s="7" t="s">
        <v>712</v>
      </c>
      <c r="I28" s="7" t="s">
        <v>66</v>
      </c>
      <c r="J28" s="7" t="s">
        <v>702</v>
      </c>
      <c r="K28" s="7" t="s">
        <v>741</v>
      </c>
    </row>
    <row r="29" customFormat="false" ht="15" hidden="false" customHeight="false" outlineLevel="0" collapsed="false">
      <c r="A29" s="7" t="s">
        <v>196</v>
      </c>
      <c r="B29" s="7" t="s">
        <v>197</v>
      </c>
      <c r="C29" s="7" t="s">
        <v>742</v>
      </c>
      <c r="D29" s="7" t="s">
        <v>200</v>
      </c>
      <c r="E29" s="7" t="s">
        <v>722</v>
      </c>
      <c r="F29" s="7" t="s">
        <v>207</v>
      </c>
      <c r="G29" s="8" t="s">
        <v>743</v>
      </c>
      <c r="H29" s="7" t="s">
        <v>712</v>
      </c>
      <c r="I29" s="7" t="s">
        <v>66</v>
      </c>
      <c r="J29" s="7" t="s">
        <v>702</v>
      </c>
      <c r="K29" s="7" t="s">
        <v>744</v>
      </c>
    </row>
    <row r="30" customFormat="false" ht="15" hidden="false" customHeight="false" outlineLevel="0" collapsed="false">
      <c r="A30" s="7" t="s">
        <v>196</v>
      </c>
      <c r="B30" s="7" t="s">
        <v>197</v>
      </c>
      <c r="C30" s="7" t="s">
        <v>745</v>
      </c>
      <c r="D30" s="7" t="s">
        <v>202</v>
      </c>
      <c r="E30" s="7" t="s">
        <v>722</v>
      </c>
      <c r="F30" s="7" t="s">
        <v>207</v>
      </c>
      <c r="G30" s="8" t="s">
        <v>743</v>
      </c>
      <c r="H30" s="7" t="s">
        <v>712</v>
      </c>
      <c r="I30" s="7" t="s">
        <v>66</v>
      </c>
      <c r="J30" s="7" t="s">
        <v>702</v>
      </c>
      <c r="K30" s="7" t="s">
        <v>746</v>
      </c>
    </row>
    <row r="31" customFormat="false" ht="15" hidden="false" customHeight="false" outlineLevel="0" collapsed="false">
      <c r="A31" s="7" t="s">
        <v>210</v>
      </c>
      <c r="B31" s="7" t="s">
        <v>211</v>
      </c>
      <c r="C31" s="7" t="s">
        <v>739</v>
      </c>
      <c r="D31" s="7" t="s">
        <v>201</v>
      </c>
      <c r="E31" s="7" t="s">
        <v>740</v>
      </c>
      <c r="F31" s="7" t="s">
        <v>207</v>
      </c>
      <c r="G31" s="8" t="s">
        <v>216</v>
      </c>
      <c r="H31" s="7" t="s">
        <v>712</v>
      </c>
      <c r="I31" s="7" t="s">
        <v>66</v>
      </c>
      <c r="J31" s="7" t="s">
        <v>702</v>
      </c>
      <c r="K31" s="7" t="s">
        <v>747</v>
      </c>
    </row>
    <row r="32" customFormat="false" ht="15" hidden="false" customHeight="false" outlineLevel="0" collapsed="false">
      <c r="A32" s="7" t="s">
        <v>219</v>
      </c>
      <c r="B32" s="7" t="s">
        <v>220</v>
      </c>
      <c r="C32" s="7" t="s">
        <v>18</v>
      </c>
      <c r="D32" s="7" t="s">
        <v>228</v>
      </c>
      <c r="E32" s="7" t="s">
        <v>695</v>
      </c>
      <c r="F32" s="7" t="s">
        <v>183</v>
      </c>
      <c r="G32" s="8" t="s">
        <v>226</v>
      </c>
      <c r="H32" s="7" t="s">
        <v>712</v>
      </c>
      <c r="I32" s="7" t="s">
        <v>66</v>
      </c>
      <c r="J32" s="7" t="s">
        <v>700</v>
      </c>
      <c r="K32" s="7" t="s">
        <v>748</v>
      </c>
    </row>
    <row r="33" customFormat="false" ht="15" hidden="false" customHeight="false" outlineLevel="0" collapsed="false">
      <c r="A33" s="7" t="s">
        <v>219</v>
      </c>
      <c r="B33" s="7" t="s">
        <v>220</v>
      </c>
      <c r="C33" s="7" t="s">
        <v>749</v>
      </c>
      <c r="D33" s="7" t="s">
        <v>227</v>
      </c>
      <c r="E33" s="7" t="s">
        <v>695</v>
      </c>
      <c r="F33" s="7" t="s">
        <v>63</v>
      </c>
      <c r="G33" s="8" t="s">
        <v>226</v>
      </c>
      <c r="H33" s="7" t="s">
        <v>712</v>
      </c>
      <c r="I33" s="7" t="s">
        <v>66</v>
      </c>
      <c r="J33" s="7" t="s">
        <v>700</v>
      </c>
      <c r="K33" s="7"/>
    </row>
    <row r="34" customFormat="false" ht="15" hidden="false" customHeight="false" outlineLevel="0" collapsed="false">
      <c r="A34" s="7" t="s">
        <v>219</v>
      </c>
      <c r="B34" s="7" t="s">
        <v>220</v>
      </c>
      <c r="C34" s="7" t="s">
        <v>750</v>
      </c>
      <c r="D34" s="7" t="s">
        <v>229</v>
      </c>
      <c r="E34" s="7" t="s">
        <v>695</v>
      </c>
      <c r="F34" s="7" t="s">
        <v>63</v>
      </c>
      <c r="G34" s="8" t="s">
        <v>226</v>
      </c>
      <c r="H34" s="7" t="s">
        <v>712</v>
      </c>
      <c r="I34" s="7" t="s">
        <v>66</v>
      </c>
      <c r="J34" s="7" t="s">
        <v>700</v>
      </c>
      <c r="K34" s="7"/>
    </row>
    <row r="35" customFormat="false" ht="15" hidden="false" customHeight="false" outlineLevel="0" collapsed="false">
      <c r="A35" s="7" t="s">
        <v>232</v>
      </c>
      <c r="B35" s="7" t="s">
        <v>233</v>
      </c>
      <c r="C35" s="7" t="s">
        <v>18</v>
      </c>
      <c r="D35" s="7" t="s">
        <v>239</v>
      </c>
      <c r="E35" s="7" t="s">
        <v>695</v>
      </c>
      <c r="F35" s="7" t="s">
        <v>183</v>
      </c>
      <c r="G35" s="8" t="s">
        <v>271</v>
      </c>
      <c r="H35" s="7" t="s">
        <v>712</v>
      </c>
      <c r="I35" s="7" t="s">
        <v>66</v>
      </c>
      <c r="J35" s="7" t="s">
        <v>700</v>
      </c>
      <c r="K35" s="7" t="s">
        <v>751</v>
      </c>
    </row>
    <row r="36" customFormat="false" ht="15" hidden="false" customHeight="false" outlineLevel="0" collapsed="false">
      <c r="A36" s="7" t="s">
        <v>232</v>
      </c>
      <c r="B36" s="7" t="s">
        <v>233</v>
      </c>
      <c r="C36" s="7" t="s">
        <v>718</v>
      </c>
      <c r="D36" s="7" t="s">
        <v>240</v>
      </c>
      <c r="E36" s="7" t="s">
        <v>695</v>
      </c>
      <c r="F36" s="7" t="s">
        <v>207</v>
      </c>
      <c r="G36" s="8" t="s">
        <v>271</v>
      </c>
      <c r="H36" s="7" t="s">
        <v>712</v>
      </c>
      <c r="I36" s="7" t="s">
        <v>66</v>
      </c>
      <c r="J36" s="7" t="s">
        <v>702</v>
      </c>
      <c r="K36" s="7"/>
    </row>
    <row r="37" customFormat="false" ht="15" hidden="false" customHeight="false" outlineLevel="0" collapsed="false">
      <c r="A37" s="7" t="s">
        <v>244</v>
      </c>
      <c r="B37" s="7" t="s">
        <v>245</v>
      </c>
      <c r="C37" s="7" t="s">
        <v>18</v>
      </c>
      <c r="D37" s="7" t="s">
        <v>251</v>
      </c>
      <c r="E37" s="7" t="s">
        <v>695</v>
      </c>
      <c r="F37" s="7" t="s">
        <v>207</v>
      </c>
      <c r="G37" s="8" t="s">
        <v>271</v>
      </c>
      <c r="H37" s="7" t="s">
        <v>712</v>
      </c>
      <c r="I37" s="7" t="s">
        <v>66</v>
      </c>
      <c r="J37" s="7" t="s">
        <v>702</v>
      </c>
      <c r="K37" s="7"/>
    </row>
    <row r="38" customFormat="false" ht="15" hidden="false" customHeight="false" outlineLevel="0" collapsed="false">
      <c r="A38" s="7" t="s">
        <v>244</v>
      </c>
      <c r="B38" s="7" t="s">
        <v>245</v>
      </c>
      <c r="C38" s="7" t="s">
        <v>718</v>
      </c>
      <c r="D38" s="7" t="s">
        <v>252</v>
      </c>
      <c r="E38" s="7" t="s">
        <v>695</v>
      </c>
      <c r="F38" s="7" t="s">
        <v>207</v>
      </c>
      <c r="G38" s="8" t="s">
        <v>271</v>
      </c>
      <c r="H38" s="7" t="s">
        <v>712</v>
      </c>
      <c r="I38" s="7" t="s">
        <v>66</v>
      </c>
      <c r="J38" s="7" t="s">
        <v>702</v>
      </c>
      <c r="K38" s="7" t="s">
        <v>752</v>
      </c>
    </row>
    <row r="39" customFormat="false" ht="15" hidden="false" customHeight="false" outlineLevel="0" collapsed="false">
      <c r="A39" s="7" t="s">
        <v>255</v>
      </c>
      <c r="B39" s="7" t="s">
        <v>256</v>
      </c>
      <c r="C39" s="7" t="s">
        <v>719</v>
      </c>
      <c r="D39" s="7" t="s">
        <v>260</v>
      </c>
      <c r="E39" s="7" t="s">
        <v>695</v>
      </c>
      <c r="F39" s="7" t="s">
        <v>207</v>
      </c>
      <c r="G39" s="8" t="s">
        <v>271</v>
      </c>
      <c r="H39" s="7" t="s">
        <v>712</v>
      </c>
      <c r="I39" s="7" t="s">
        <v>66</v>
      </c>
      <c r="J39" s="7" t="s">
        <v>702</v>
      </c>
      <c r="K39" s="7"/>
    </row>
    <row r="40" customFormat="false" ht="15" hidden="false" customHeight="false" outlineLevel="0" collapsed="false">
      <c r="A40" s="7" t="s">
        <v>255</v>
      </c>
      <c r="B40" s="7" t="s">
        <v>256</v>
      </c>
      <c r="C40" s="7" t="s">
        <v>18</v>
      </c>
      <c r="D40" s="7" t="s">
        <v>261</v>
      </c>
      <c r="E40" s="7" t="s">
        <v>695</v>
      </c>
      <c r="F40" s="7" t="s">
        <v>207</v>
      </c>
      <c r="G40" s="8" t="s">
        <v>271</v>
      </c>
      <c r="H40" s="7" t="s">
        <v>712</v>
      </c>
      <c r="I40" s="7" t="s">
        <v>66</v>
      </c>
      <c r="J40" s="7" t="s">
        <v>702</v>
      </c>
      <c r="K40" s="7"/>
    </row>
    <row r="41" customFormat="false" ht="15" hidden="false" customHeight="false" outlineLevel="0" collapsed="false">
      <c r="A41" s="7" t="s">
        <v>263</v>
      </c>
      <c r="B41" s="7" t="s">
        <v>264</v>
      </c>
      <c r="C41" s="7" t="s">
        <v>18</v>
      </c>
      <c r="D41" s="7" t="s">
        <v>268</v>
      </c>
      <c r="E41" s="7" t="s">
        <v>695</v>
      </c>
      <c r="F41" s="7" t="s">
        <v>207</v>
      </c>
      <c r="G41" s="8" t="s">
        <v>271</v>
      </c>
      <c r="H41" s="7" t="s">
        <v>712</v>
      </c>
      <c r="I41" s="7" t="s">
        <v>66</v>
      </c>
      <c r="J41" s="7" t="s">
        <v>702</v>
      </c>
      <c r="K41" s="7"/>
    </row>
    <row r="42" customFormat="false" ht="15" hidden="false" customHeight="false" outlineLevel="0" collapsed="false">
      <c r="A42" s="7" t="s">
        <v>263</v>
      </c>
      <c r="B42" s="7" t="s">
        <v>264</v>
      </c>
      <c r="C42" s="7" t="s">
        <v>711</v>
      </c>
      <c r="D42" s="7" t="s">
        <v>267</v>
      </c>
      <c r="E42" s="7" t="s">
        <v>695</v>
      </c>
      <c r="F42" s="7" t="s">
        <v>207</v>
      </c>
      <c r="G42" s="8" t="s">
        <v>271</v>
      </c>
      <c r="H42" s="7" t="s">
        <v>712</v>
      </c>
      <c r="I42" s="7" t="s">
        <v>66</v>
      </c>
      <c r="J42" s="7" t="s">
        <v>702</v>
      </c>
      <c r="K42" s="7"/>
    </row>
    <row r="43" customFormat="false" ht="15" hidden="false" customHeight="false" outlineLevel="0" collapsed="false">
      <c r="A43" s="7" t="s">
        <v>279</v>
      </c>
      <c r="B43" s="7" t="s">
        <v>280</v>
      </c>
      <c r="C43" s="7" t="s">
        <v>753</v>
      </c>
      <c r="D43" s="7" t="s">
        <v>284</v>
      </c>
      <c r="E43" s="7" t="s">
        <v>722</v>
      </c>
      <c r="F43" s="7" t="s">
        <v>207</v>
      </c>
      <c r="G43" s="8" t="s">
        <v>271</v>
      </c>
      <c r="H43" s="7" t="s">
        <v>712</v>
      </c>
      <c r="I43" s="7" t="s">
        <v>66</v>
      </c>
      <c r="J43" s="7" t="s">
        <v>702</v>
      </c>
      <c r="K43" s="7"/>
    </row>
    <row r="44" customFormat="false" ht="15" hidden="false" customHeight="false" outlineLevel="0" collapsed="false">
      <c r="A44" s="7" t="s">
        <v>287</v>
      </c>
      <c r="B44" s="7" t="s">
        <v>288</v>
      </c>
      <c r="C44" s="7" t="s">
        <v>18</v>
      </c>
      <c r="D44" s="7" t="s">
        <v>294</v>
      </c>
      <c r="E44" s="7" t="s">
        <v>695</v>
      </c>
      <c r="F44" s="7" t="s">
        <v>207</v>
      </c>
      <c r="G44" s="8" t="s">
        <v>271</v>
      </c>
      <c r="H44" s="7" t="s">
        <v>712</v>
      </c>
      <c r="I44" s="7" t="s">
        <v>66</v>
      </c>
      <c r="J44" s="7" t="s">
        <v>702</v>
      </c>
      <c r="K44" s="7"/>
    </row>
    <row r="45" customFormat="false" ht="15" hidden="false" customHeight="false" outlineLevel="0" collapsed="false">
      <c r="A45" s="7" t="s">
        <v>297</v>
      </c>
      <c r="B45" s="7" t="s">
        <v>298</v>
      </c>
      <c r="C45" s="7" t="s">
        <v>754</v>
      </c>
      <c r="D45" s="7" t="s">
        <v>302</v>
      </c>
      <c r="E45" s="7" t="s">
        <v>722</v>
      </c>
      <c r="F45" s="7" t="s">
        <v>63</v>
      </c>
      <c r="G45" s="8" t="s">
        <v>301</v>
      </c>
      <c r="H45" s="7" t="s">
        <v>712</v>
      </c>
      <c r="I45" s="7" t="s">
        <v>66</v>
      </c>
      <c r="J45" s="7" t="s">
        <v>700</v>
      </c>
      <c r="K45" s="7"/>
    </row>
    <row r="46" customFormat="false" ht="15" hidden="false" customHeight="false" outlineLevel="0" collapsed="false">
      <c r="A46" s="7" t="s">
        <v>306</v>
      </c>
      <c r="B46" s="7" t="s">
        <v>307</v>
      </c>
      <c r="C46" s="7" t="s">
        <v>754</v>
      </c>
      <c r="D46" s="7" t="s">
        <v>302</v>
      </c>
      <c r="E46" s="7" t="s">
        <v>722</v>
      </c>
      <c r="F46" s="7" t="s">
        <v>63</v>
      </c>
      <c r="G46" s="8" t="s">
        <v>301</v>
      </c>
      <c r="H46" s="7" t="s">
        <v>712</v>
      </c>
      <c r="I46" s="7" t="s">
        <v>66</v>
      </c>
      <c r="J46" s="7" t="s">
        <v>700</v>
      </c>
      <c r="K46" s="7"/>
    </row>
    <row r="47" customFormat="false" ht="15" hidden="false" customHeight="false" outlineLevel="0" collapsed="false">
      <c r="A47" s="7" t="s">
        <v>312</v>
      </c>
      <c r="B47" s="7" t="s">
        <v>313</v>
      </c>
      <c r="C47" s="7" t="s">
        <v>755</v>
      </c>
      <c r="D47" s="7" t="s">
        <v>318</v>
      </c>
      <c r="E47" s="7" t="s">
        <v>740</v>
      </c>
      <c r="F47" s="7" t="s">
        <v>207</v>
      </c>
      <c r="G47" s="8" t="s">
        <v>756</v>
      </c>
      <c r="H47" s="7" t="s">
        <v>712</v>
      </c>
      <c r="I47" s="7" t="s">
        <v>66</v>
      </c>
      <c r="J47" s="7" t="s">
        <v>702</v>
      </c>
      <c r="K47" s="7"/>
    </row>
    <row r="48" customFormat="false" ht="15" hidden="false" customHeight="false" outlineLevel="0" collapsed="false">
      <c r="A48" s="7" t="s">
        <v>321</v>
      </c>
      <c r="B48" s="7" t="s">
        <v>322</v>
      </c>
      <c r="C48" s="7" t="s">
        <v>739</v>
      </c>
      <c r="D48" s="7" t="s">
        <v>327</v>
      </c>
      <c r="E48" s="7" t="s">
        <v>740</v>
      </c>
      <c r="F48" s="7" t="s">
        <v>207</v>
      </c>
      <c r="G48" s="8" t="s">
        <v>329</v>
      </c>
      <c r="H48" s="7" t="s">
        <v>712</v>
      </c>
      <c r="I48" s="7" t="s">
        <v>66</v>
      </c>
      <c r="J48" s="7" t="s">
        <v>702</v>
      </c>
      <c r="K48" s="7"/>
    </row>
    <row r="49" customFormat="false" ht="15" hidden="false" customHeight="false" outlineLevel="0" collapsed="false">
      <c r="A49" s="7" t="s">
        <v>331</v>
      </c>
      <c r="B49" s="7" t="s">
        <v>332</v>
      </c>
      <c r="C49" s="7" t="s">
        <v>739</v>
      </c>
      <c r="D49" s="7" t="s">
        <v>336</v>
      </c>
      <c r="E49" s="7" t="s">
        <v>740</v>
      </c>
      <c r="F49" s="7" t="s">
        <v>207</v>
      </c>
      <c r="G49" s="8" t="s">
        <v>337</v>
      </c>
      <c r="H49" s="7" t="s">
        <v>712</v>
      </c>
      <c r="I49" s="7" t="s">
        <v>66</v>
      </c>
      <c r="J49" s="7" t="s">
        <v>702</v>
      </c>
      <c r="K49" s="7"/>
    </row>
    <row r="50" customFormat="false" ht="15" hidden="false" customHeight="false" outlineLevel="0" collapsed="false">
      <c r="A50" s="7" t="s">
        <v>338</v>
      </c>
      <c r="B50" s="7" t="s">
        <v>339</v>
      </c>
      <c r="C50" s="7" t="s">
        <v>739</v>
      </c>
      <c r="D50" s="7" t="s">
        <v>343</v>
      </c>
      <c r="E50" s="7" t="s">
        <v>740</v>
      </c>
      <c r="F50" s="7" t="s">
        <v>207</v>
      </c>
      <c r="G50" s="8" t="s">
        <v>344</v>
      </c>
      <c r="H50" s="7" t="s">
        <v>712</v>
      </c>
      <c r="I50" s="7" t="s">
        <v>66</v>
      </c>
      <c r="J50" s="7" t="s">
        <v>702</v>
      </c>
      <c r="K50" s="7"/>
    </row>
    <row r="51" customFormat="false" ht="15" hidden="false" customHeight="false" outlineLevel="0" collapsed="false">
      <c r="A51" s="7" t="s">
        <v>345</v>
      </c>
      <c r="B51" s="7" t="s">
        <v>346</v>
      </c>
      <c r="C51" s="7" t="s">
        <v>739</v>
      </c>
      <c r="D51" s="7" t="s">
        <v>351</v>
      </c>
      <c r="E51" s="7" t="s">
        <v>740</v>
      </c>
      <c r="F51" s="7" t="s">
        <v>207</v>
      </c>
      <c r="G51" s="8" t="s">
        <v>352</v>
      </c>
      <c r="H51" s="7" t="s">
        <v>712</v>
      </c>
      <c r="I51" s="7" t="s">
        <v>66</v>
      </c>
      <c r="J51" s="7" t="s">
        <v>702</v>
      </c>
      <c r="K51" s="7"/>
    </row>
    <row r="52" customFormat="false" ht="15" hidden="false" customHeight="false" outlineLevel="0" collapsed="false">
      <c r="A52" s="7" t="s">
        <v>353</v>
      </c>
      <c r="B52" s="7" t="s">
        <v>354</v>
      </c>
      <c r="C52" s="7" t="s">
        <v>739</v>
      </c>
      <c r="D52" s="7" t="s">
        <v>359</v>
      </c>
      <c r="E52" s="7" t="s">
        <v>740</v>
      </c>
      <c r="F52" s="7" t="s">
        <v>207</v>
      </c>
      <c r="G52" s="8" t="s">
        <v>360</v>
      </c>
      <c r="H52" s="7" t="s">
        <v>712</v>
      </c>
      <c r="I52" s="7" t="s">
        <v>66</v>
      </c>
      <c r="J52" s="7" t="s">
        <v>702</v>
      </c>
      <c r="K52" s="7"/>
    </row>
    <row r="53" customFormat="false" ht="15" hidden="false" customHeight="false" outlineLevel="0" collapsed="false">
      <c r="A53" s="7" t="s">
        <v>361</v>
      </c>
      <c r="B53" s="7" t="s">
        <v>362</v>
      </c>
      <c r="C53" s="7" t="s">
        <v>739</v>
      </c>
      <c r="D53" s="7" t="s">
        <v>366</v>
      </c>
      <c r="E53" s="7" t="s">
        <v>740</v>
      </c>
      <c r="F53" s="7" t="s">
        <v>207</v>
      </c>
      <c r="G53" s="8" t="s">
        <v>367</v>
      </c>
      <c r="H53" s="7" t="s">
        <v>712</v>
      </c>
      <c r="I53" s="7" t="s">
        <v>66</v>
      </c>
      <c r="J53" s="7" t="s">
        <v>702</v>
      </c>
      <c r="K53" s="7"/>
    </row>
    <row r="54" customFormat="false" ht="15" hidden="false" customHeight="false" outlineLevel="0" collapsed="false">
      <c r="A54" s="7" t="s">
        <v>368</v>
      </c>
      <c r="B54" s="7" t="s">
        <v>369</v>
      </c>
      <c r="C54" s="7" t="s">
        <v>739</v>
      </c>
      <c r="D54" s="7" t="s">
        <v>371</v>
      </c>
      <c r="E54" s="7" t="s">
        <v>740</v>
      </c>
      <c r="F54" s="7" t="s">
        <v>207</v>
      </c>
      <c r="G54" s="8" t="s">
        <v>373</v>
      </c>
      <c r="H54" s="7" t="s">
        <v>712</v>
      </c>
      <c r="I54" s="7" t="s">
        <v>66</v>
      </c>
      <c r="J54" s="7" t="s">
        <v>702</v>
      </c>
      <c r="K54" s="7"/>
    </row>
    <row r="55" customFormat="false" ht="15" hidden="false" customHeight="false" outlineLevel="0" collapsed="false">
      <c r="A55" s="7" t="s">
        <v>455</v>
      </c>
      <c r="B55" s="7" t="s">
        <v>456</v>
      </c>
      <c r="C55" s="7" t="s">
        <v>711</v>
      </c>
      <c r="D55" s="7" t="s">
        <v>461</v>
      </c>
      <c r="E55" s="7" t="s">
        <v>695</v>
      </c>
      <c r="F55" s="7" t="s">
        <v>207</v>
      </c>
      <c r="G55" s="8" t="s">
        <v>757</v>
      </c>
      <c r="H55" s="7" t="s">
        <v>712</v>
      </c>
      <c r="I55" s="7" t="s">
        <v>66</v>
      </c>
      <c r="J55" s="7" t="s">
        <v>702</v>
      </c>
      <c r="K55" s="7" t="s">
        <v>758</v>
      </c>
    </row>
    <row r="56" customFormat="false" ht="15" hidden="false" customHeight="false" outlineLevel="0" collapsed="false">
      <c r="A56" s="7" t="s">
        <v>455</v>
      </c>
      <c r="B56" s="7" t="s">
        <v>456</v>
      </c>
      <c r="C56" s="7" t="s">
        <v>713</v>
      </c>
      <c r="D56" s="7" t="s">
        <v>462</v>
      </c>
      <c r="E56" s="7" t="s">
        <v>695</v>
      </c>
      <c r="F56" s="7" t="s">
        <v>207</v>
      </c>
      <c r="G56" s="8" t="s">
        <v>757</v>
      </c>
      <c r="H56" s="7" t="s">
        <v>712</v>
      </c>
      <c r="I56" s="7" t="s">
        <v>66</v>
      </c>
      <c r="J56" s="7" t="s">
        <v>702</v>
      </c>
      <c r="K56" s="7" t="s">
        <v>759</v>
      </c>
    </row>
    <row r="57" customFormat="false" ht="15" hidden="false" customHeight="false" outlineLevel="0" collapsed="false">
      <c r="A57" s="7" t="s">
        <v>465</v>
      </c>
      <c r="B57" s="7" t="s">
        <v>466</v>
      </c>
      <c r="C57" s="7" t="s">
        <v>711</v>
      </c>
      <c r="D57" s="7" t="s">
        <v>471</v>
      </c>
      <c r="E57" s="7" t="s">
        <v>695</v>
      </c>
      <c r="F57" s="7" t="s">
        <v>207</v>
      </c>
      <c r="G57" s="8" t="s">
        <v>760</v>
      </c>
      <c r="H57" s="7" t="s">
        <v>712</v>
      </c>
      <c r="I57" s="7" t="s">
        <v>66</v>
      </c>
      <c r="J57" s="7" t="s">
        <v>702</v>
      </c>
      <c r="K57" s="7"/>
    </row>
    <row r="58" customFormat="false" ht="15" hidden="false" customHeight="false" outlineLevel="0" collapsed="false">
      <c r="A58" s="7" t="s">
        <v>465</v>
      </c>
      <c r="B58" s="7" t="s">
        <v>466</v>
      </c>
      <c r="C58" s="7" t="s">
        <v>711</v>
      </c>
      <c r="D58" s="7" t="s">
        <v>761</v>
      </c>
      <c r="E58" s="7" t="s">
        <v>695</v>
      </c>
      <c r="F58" s="7" t="s">
        <v>207</v>
      </c>
      <c r="G58" s="8" t="s">
        <v>760</v>
      </c>
      <c r="H58" s="7" t="s">
        <v>712</v>
      </c>
      <c r="I58" s="7" t="s">
        <v>66</v>
      </c>
      <c r="J58" s="7" t="s">
        <v>702</v>
      </c>
      <c r="K58" s="7"/>
    </row>
    <row r="59" customFormat="false" ht="15" hidden="false" customHeight="false" outlineLevel="0" collapsed="false">
      <c r="A59" s="7" t="s">
        <v>465</v>
      </c>
      <c r="B59" s="7" t="s">
        <v>466</v>
      </c>
      <c r="C59" s="7" t="s">
        <v>762</v>
      </c>
      <c r="D59" s="7" t="s">
        <v>472</v>
      </c>
      <c r="E59" s="7" t="s">
        <v>695</v>
      </c>
      <c r="F59" s="7" t="s">
        <v>207</v>
      </c>
      <c r="G59" s="8" t="s">
        <v>760</v>
      </c>
      <c r="H59" s="7" t="s">
        <v>712</v>
      </c>
      <c r="I59" s="7" t="s">
        <v>66</v>
      </c>
      <c r="J59" s="7" t="s">
        <v>702</v>
      </c>
      <c r="K59" s="7"/>
    </row>
    <row r="60" customFormat="false" ht="15" hidden="false" customHeight="false" outlineLevel="0" collapsed="false">
      <c r="A60" s="7" t="s">
        <v>504</v>
      </c>
      <c r="B60" s="7" t="s">
        <v>505</v>
      </c>
      <c r="C60" s="7" t="s">
        <v>18</v>
      </c>
      <c r="D60" s="7" t="s">
        <v>509</v>
      </c>
      <c r="E60" s="7" t="s">
        <v>695</v>
      </c>
      <c r="F60" s="7" t="s">
        <v>63</v>
      </c>
      <c r="G60" s="8" t="s">
        <v>508</v>
      </c>
      <c r="H60" s="7" t="s">
        <v>712</v>
      </c>
      <c r="I60" s="7" t="s">
        <v>66</v>
      </c>
      <c r="J60" s="7" t="s">
        <v>700</v>
      </c>
      <c r="K60" s="7" t="s">
        <v>763</v>
      </c>
    </row>
    <row r="61" customFormat="false" ht="15" hidden="false" customHeight="false" outlineLevel="0" collapsed="false">
      <c r="A61" s="7" t="s">
        <v>504</v>
      </c>
      <c r="B61" s="7" t="s">
        <v>505</v>
      </c>
      <c r="C61" s="7" t="s">
        <v>764</v>
      </c>
      <c r="D61" s="7" t="s">
        <v>510</v>
      </c>
      <c r="E61" s="7" t="s">
        <v>695</v>
      </c>
      <c r="F61" s="7" t="s">
        <v>63</v>
      </c>
      <c r="G61" s="8" t="s">
        <v>508</v>
      </c>
      <c r="H61" s="7" t="s">
        <v>712</v>
      </c>
      <c r="I61" s="7" t="s">
        <v>66</v>
      </c>
      <c r="J61" s="7" t="s">
        <v>700</v>
      </c>
      <c r="K61" s="7"/>
    </row>
    <row r="62" customFormat="false" ht="15" hidden="false" customHeight="false" outlineLevel="0" collapsed="false">
      <c r="A62" s="7" t="s">
        <v>513</v>
      </c>
      <c r="B62" s="7" t="s">
        <v>514</v>
      </c>
      <c r="C62" s="7" t="s">
        <v>711</v>
      </c>
      <c r="D62" s="7" t="s">
        <v>520</v>
      </c>
      <c r="E62" s="7" t="s">
        <v>695</v>
      </c>
      <c r="F62" s="7" t="s">
        <v>207</v>
      </c>
      <c r="G62" s="8" t="s">
        <v>519</v>
      </c>
      <c r="H62" s="7" t="s">
        <v>712</v>
      </c>
      <c r="I62" s="7" t="s">
        <v>66</v>
      </c>
      <c r="J62" s="7" t="s">
        <v>702</v>
      </c>
      <c r="K62" s="7" t="s">
        <v>765</v>
      </c>
    </row>
    <row r="63" customFormat="false" ht="15" hidden="false" customHeight="false" outlineLevel="0" collapsed="false">
      <c r="A63" s="7" t="s">
        <v>513</v>
      </c>
      <c r="B63" s="7" t="s">
        <v>514</v>
      </c>
      <c r="C63" s="7" t="s">
        <v>711</v>
      </c>
      <c r="D63" s="7" t="s">
        <v>766</v>
      </c>
      <c r="E63" s="7" t="s">
        <v>695</v>
      </c>
      <c r="F63" s="7" t="s">
        <v>207</v>
      </c>
      <c r="G63" s="8" t="s">
        <v>519</v>
      </c>
      <c r="H63" s="7" t="s">
        <v>712</v>
      </c>
      <c r="I63" s="7" t="s">
        <v>66</v>
      </c>
      <c r="J63" s="7" t="s">
        <v>702</v>
      </c>
      <c r="K63" s="7"/>
    </row>
    <row r="64" customFormat="false" ht="15" hidden="false" customHeight="false" outlineLevel="0" collapsed="false">
      <c r="A64" s="7" t="s">
        <v>513</v>
      </c>
      <c r="B64" s="7" t="s">
        <v>514</v>
      </c>
      <c r="C64" s="7" t="s">
        <v>718</v>
      </c>
      <c r="D64" s="7" t="s">
        <v>521</v>
      </c>
      <c r="E64" s="7" t="s">
        <v>695</v>
      </c>
      <c r="F64" s="7" t="s">
        <v>207</v>
      </c>
      <c r="G64" s="8" t="s">
        <v>522</v>
      </c>
      <c r="H64" s="7" t="s">
        <v>712</v>
      </c>
      <c r="I64" s="7" t="s">
        <v>66</v>
      </c>
      <c r="J64" s="7" t="s">
        <v>702</v>
      </c>
      <c r="K64" s="7" t="s">
        <v>767</v>
      </c>
    </row>
  </sheetData>
  <autoFilter ref="A1:K64"/>
  <hyperlinks>
    <hyperlink ref="G2" r:id="rId1" display="https://www.canaryvillage.com/"/>
    <hyperlink ref="G3" r:id="rId2" display="https://www.canaryvillage.com/"/>
    <hyperlink ref="G4" r:id="rId3" display="https://www.canaryvillage.com/"/>
    <hyperlink ref="G5" r:id="rId4" display="https://www.canaryvillage.com/"/>
    <hyperlink ref="G6" r:id="rId5" display="https://canary-vista.com/"/>
    <hyperlink ref="G7" r:id="rId6" display="https://canary-vista.com/"/>
    <hyperlink ref="G8" r:id="rId7" display="https://canary-vista.com/"/>
    <hyperlink ref="G9" r:id="rId8" display="https://www.eurovillage.sa/contact/"/>
    <hyperlink ref="G10" r:id="rId9" display="https://www.lasdunas-sa.com/"/>
    <hyperlink ref="G11" r:id="rId10" display="https://www.lasdunas-sa.com/"/>
    <hyperlink ref="G12" r:id="rId11" display="https://www.rivieracompound.com/"/>
    <hyperlink ref="G13" r:id="rId12" display="https://www.rivieracompound.com/"/>
    <hyperlink ref="G14" r:id="rId13" display="https://www.rivieracompound.com/"/>
    <hyperlink ref="G15" r:id="rId14" display="https://www.al-othman.com/ar/al-mohamadia-compound"/>
    <hyperlink ref="G16" r:id="rId15" display="https://www.al-othman.com/ar/al-mohamadia-compound"/>
    <hyperlink ref="G17" r:id="rId16" display="https://www.al-othman.com/ar/al-mohamadia-compound"/>
    <hyperlink ref="G18" r:id="rId17" display="https://zamilrealestate.com/en"/>
    <hyperlink ref="G19" r:id="rId18" display="https://zamilrealestate.com/en"/>
    <hyperlink ref="G20" r:id="rId19" display="https://zamilrealestate.com/en"/>
    <hyperlink ref="G21" r:id="rId20" display="https://www.retalresidence.com/"/>
    <hyperlink ref="G22" r:id="rId21" display="https://www.retalresidence.com/"/>
    <hyperlink ref="G23" r:id="rId22" display="https://www.retalresidence.com/"/>
    <hyperlink ref="G24" r:id="rId23" display="https://www.retalresidence.com/"/>
    <hyperlink ref="G25" r:id="rId24" display="https://www.grandvillage.com.sa/"/>
    <hyperlink ref="G26" r:id="rId25" display="https://www.grandvillage.com.sa/"/>
    <hyperlink ref="G27" r:id="rId26" display="https://alef-home.com/"/>
    <hyperlink ref="G28" r:id="rId27" display="https://rightcompound.com/compounds/khobar/al-ansary-compound"/>
    <hyperlink ref="G29" r:id="rId28" display="https://alansari.com.sa/contact-us/"/>
    <hyperlink ref="G30" r:id="rId29" display="https://alansari.com.sa/contact-us/"/>
    <hyperlink ref="G31" r:id="rId30" display="https://rightcompound.com/compounds/khobar/al-ansari-compound-two-al-khobar"/>
    <hyperlink ref="G32" r:id="rId31" display="https://www.aswadgroup.com/info/al-aswad-compound"/>
    <hyperlink ref="G33" r:id="rId32" display="https://www.aswadgroup.com/info/al-aswad-compound"/>
    <hyperlink ref="G34" r:id="rId33" display="https://www.aswadgroup.com/info/al-aswad-compound"/>
    <hyperlink ref="G35" r:id="rId34" display="https://www.propertyfinder.sa/blog/%D9%83%D9%85%D8%A8%D9%88%D9%86%D8%AF%D8%A7%D8%AA-%D8%A7%D9%84%D8%AE%D8%A8%D8%B1-%D9%85%D8%AC%D9%85%D8%B9%D8%A7%D8%AA-%D8%B3%D9%83%D9%86%D9%8A%D8%A9-%D8%B9%D8%A7%D9%84%D9%85%D9%8A%D8%A9-%D8%B9%D9%84/"/>
    <hyperlink ref="G36" r:id="rId35" display="https://www.propertyfinder.sa/blog/%D9%83%D9%85%D8%A8%D9%88%D9%86%D8%AF%D8%A7%D8%AA-%D8%A7%D9%84%D8%AE%D8%A8%D8%B1-%D9%85%D8%AC%D9%85%D8%B9%D8%A7%D8%AA-%D8%B3%D9%83%D9%86%D9%8A%D8%A9-%D8%B9%D8%A7%D9%84%D9%85%D9%8A%D8%A9-%D8%B9%D9%84/"/>
    <hyperlink ref="G37" r:id="rId36" display="https://www.propertyfinder.sa/blog/%D9%83%D9%85%D8%A8%D9%88%D9%86%D8%AF%D8%A7%D8%AA-%D8%A7%D9%84%D8%AE%D8%A8%D8%B1-%D9%85%D8%AC%D9%85%D8%B9%D8%A7%D8%AA-%D8%B3%D9%83%D9%86%D9%8A%D8%A9-%D8%B9%D8%A7%D9%84%D9%85%D9%8A%D8%A9-%D8%B9%D9%84/"/>
    <hyperlink ref="G38" r:id="rId37" display="https://www.propertyfinder.sa/blog/%D9%83%D9%85%D8%A8%D9%88%D9%86%D8%AF%D8%A7%D8%AA-%D8%A7%D9%84%D8%AE%D8%A8%D8%B1-%D9%85%D8%AC%D9%85%D8%B9%D8%A7%D8%AA-%D8%B3%D9%83%D9%86%D9%8A%D8%A9-%D8%B9%D8%A7%D9%84%D9%85%D9%8A%D8%A9-%D8%B9%D9%84/"/>
    <hyperlink ref="G39" r:id="rId38" display="https://www.propertyfinder.sa/blog/%D9%83%D9%85%D8%A8%D9%88%D9%86%D8%AF%D8%A7%D8%AA-%D8%A7%D9%84%D8%AE%D8%A8%D8%B1-%D9%85%D8%AC%D9%85%D8%B9%D8%A7%D8%AA-%D8%B3%D9%83%D9%86%D9%8A%D8%A9-%D8%B9%D8%A7%D9%84%D9%85%D9%8A%D8%A9-%D8%B9%D9%84/"/>
    <hyperlink ref="G40" r:id="rId39" display="https://www.propertyfinder.sa/blog/%D9%83%D9%85%D8%A8%D9%88%D9%86%D8%AF%D8%A7%D8%AA-%D8%A7%D9%84%D8%AE%D8%A8%D8%B1-%D9%85%D8%AC%D9%85%D8%B9%D8%A7%D8%AA-%D8%B3%D9%83%D9%86%D9%8A%D8%A9-%D8%B9%D8%A7%D9%84%D9%85%D9%8A%D8%A9-%D8%B9%D9%84/"/>
    <hyperlink ref="G41" r:id="rId40" display="https://www.propertyfinder.sa/blog/%D9%83%D9%85%D8%A8%D9%88%D9%86%D8%AF%D8%A7%D8%AA-%D8%A7%D9%84%D8%AE%D8%A8%D8%B1-%D9%85%D8%AC%D9%85%D8%B9%D8%A7%D8%AA-%D8%B3%D9%83%D9%86%D9%8A%D8%A9-%D8%B9%D8%A7%D9%84%D9%85%D9%8A%D8%A9-%D8%B9%D9%84/"/>
    <hyperlink ref="G42" r:id="rId41" display="https://www.propertyfinder.sa/blog/%D9%83%D9%85%D8%A8%D9%88%D9%86%D8%AF%D8%A7%D8%AA-%D8%A7%D9%84%D8%AE%D8%A8%D8%B1-%D9%85%D8%AC%D9%85%D8%B9%D8%A7%D8%AA-%D8%B3%D9%83%D9%86%D9%8A%D8%A9-%D8%B9%D8%A7%D9%84%D9%85%D9%8A%D8%A9-%D8%B9%D9%84/"/>
    <hyperlink ref="G43" r:id="rId42" display="https://www.propertyfinder.sa/blog/%D9%83%D9%85%D8%A8%D9%88%D9%86%D8%AF%D8%A7%D8%AA-%D8%A7%D9%84%D8%AE%D8%A8%D8%B1-%D9%85%D8%AC%D9%85%D8%B9%D8%A7%D8%AA-%D8%B3%D9%83%D9%86%D9%8A%D8%A9-%D8%B9%D8%A7%D9%84%D9%85%D9%8A%D8%A9-%D8%B9%D9%84/"/>
    <hyperlink ref="G44" r:id="rId43" display="https://www.propertyfinder.sa/blog/%D9%83%D9%85%D8%A8%D9%88%D9%86%D8%AF%D8%A7%D8%AA-%D8%A7%D9%84%D8%AE%D8%A8%D8%B1-%D9%85%D8%AC%D9%85%D8%B9%D8%A7%D8%AA-%D8%B3%D9%83%D9%86%D9%8A%D8%A9-%D8%B9%D8%A7%D9%84%D9%85%D9%8A%D8%A9-%D8%B9%D9%84/"/>
    <hyperlink ref="G45" r:id="rId44" display="https://www.darwaemaar.com/"/>
    <hyperlink ref="G46" r:id="rId45" display="https://www.darwaemaar.com/"/>
    <hyperlink ref="G47" r:id="rId46" display="https://rightcompound.com/compounds/khobar/refad-compound"/>
    <hyperlink ref="G48" r:id="rId47" display="https://rightcompound.com/compounds/khobar/palm-springs-compound"/>
    <hyperlink ref="G49" r:id="rId48" display="https://rightcompound.com/compounds/khobar/dana-beach-resort"/>
    <hyperlink ref="G50" r:id="rId49" display="https://rightcompound.com/compounds/khobar/green-park-lifestyle-residence-compound"/>
    <hyperlink ref="G51" r:id="rId50" display="https://rightcompound.com/compounds/khobar/marissa-elite-compound-dhahran"/>
    <hyperlink ref="G52" r:id="rId51" display="https://rightcompound.com/compounds/khobar/le-ruya"/>
    <hyperlink ref="G53" r:id="rId52" display="https://rightcompound.com/compounds/khobar/south-park-compound"/>
    <hyperlink ref="G54" r:id="rId53" display="https://rightcompound.com/compounds/khobar/loay-compound"/>
    <hyperlink ref="G55" r:id="rId54" display="https://oasiscompounds.com/oasisgardens/contact/"/>
    <hyperlink ref="G56" r:id="rId55" display="https://oasiscompounds.com/oasisgardens/contact/"/>
    <hyperlink ref="G57" r:id="rId56" display="https://gardens.oasiscompounds.com/oasisresorts/contact/"/>
    <hyperlink ref="G58" r:id="rId57" display="https://gardens.oasiscompounds.com/oasisresorts/contact/"/>
    <hyperlink ref="G59" r:id="rId58" display="https://gardens.oasiscompounds.com/oasisresorts/contact/"/>
    <hyperlink ref="G60" r:id="rId59" display="http://www.rondaco.com/"/>
    <hyperlink ref="G61" r:id="rId60" display="http://www.rondaco.com/"/>
    <hyperlink ref="G62" r:id="rId61" display="https://www.rimaresidence.com/"/>
    <hyperlink ref="G63" r:id="rId62" display="https://www.rimaresidence.com/"/>
    <hyperlink ref="G64" r:id="rId63" display="https://www.facebook.com/RimaReside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16"/>
    <col collapsed="false" customWidth="true" hidden="false" outlineLevel="0" max="5" min="4" style="0" width="14"/>
    <col collapsed="false" customWidth="true" hidden="false" outlineLevel="0" max="6" min="6" style="0" width="16"/>
    <col collapsed="false" customWidth="true" hidden="false" outlineLevel="0" max="7" min="7" style="0" width="26"/>
    <col collapsed="false" customWidth="true" hidden="false" outlineLevel="0" max="8" min="8" style="0" width="13"/>
    <col collapsed="false" customWidth="true" hidden="false" outlineLevel="0" max="9" min="9" style="0" width="12"/>
    <col collapsed="false" customWidth="true" hidden="false" outlineLevel="0" max="10" min="10" style="0" width="28"/>
    <col collapsed="false" customWidth="true" hidden="false" outlineLevel="0" max="11" min="11" style="0" width="40"/>
  </cols>
  <sheetData>
    <row r="1" customFormat="false" ht="30" hidden="false" customHeight="true" outlineLevel="0" collapsed="false">
      <c r="A1" s="1" t="s">
        <v>768</v>
      </c>
      <c r="B1" s="1" t="s">
        <v>769</v>
      </c>
      <c r="C1" s="1" t="s">
        <v>770</v>
      </c>
      <c r="D1" s="1" t="s">
        <v>771</v>
      </c>
      <c r="E1" s="1" t="s">
        <v>772</v>
      </c>
      <c r="F1" s="1" t="s">
        <v>773</v>
      </c>
      <c r="G1" s="1" t="s">
        <v>774</v>
      </c>
      <c r="H1" s="1" t="s">
        <v>775</v>
      </c>
      <c r="I1" s="1" t="s">
        <v>776</v>
      </c>
      <c r="J1" s="1" t="s">
        <v>777</v>
      </c>
      <c r="K1" s="1" t="s">
        <v>40</v>
      </c>
    </row>
    <row r="2" customFormat="false" ht="15" hidden="false" customHeight="false" outlineLevel="0" collapsed="false">
      <c r="A2" s="9" t="s">
        <v>220</v>
      </c>
      <c r="D2" s="10"/>
      <c r="E2" s="10"/>
      <c r="F2" s="9" t="s">
        <v>778</v>
      </c>
      <c r="H2" s="10"/>
    </row>
    <row r="3" customFormat="false" ht="15" hidden="false" customHeight="false" outlineLevel="0" collapsed="false">
      <c r="A3" s="9" t="s">
        <v>116</v>
      </c>
      <c r="D3" s="10"/>
      <c r="E3" s="10"/>
      <c r="F3" s="9" t="s">
        <v>778</v>
      </c>
      <c r="H3" s="10"/>
    </row>
    <row r="4" customFormat="false" ht="15" hidden="false" customHeight="false" outlineLevel="0" collapsed="false">
      <c r="A4" s="9" t="s">
        <v>133</v>
      </c>
      <c r="D4" s="10"/>
      <c r="E4" s="10"/>
      <c r="F4" s="9" t="s">
        <v>778</v>
      </c>
      <c r="H4" s="10"/>
    </row>
    <row r="5" customFormat="false" ht="15" hidden="false" customHeight="false" outlineLevel="0" collapsed="false">
      <c r="A5" s="9" t="s">
        <v>233</v>
      </c>
      <c r="D5" s="10"/>
      <c r="E5" s="10"/>
      <c r="F5" s="9" t="s">
        <v>778</v>
      </c>
      <c r="H5" s="10"/>
    </row>
    <row r="6" customFormat="false" ht="15" hidden="false" customHeight="false" outlineLevel="0" collapsed="false">
      <c r="A6" s="9" t="s">
        <v>322</v>
      </c>
      <c r="D6" s="10"/>
      <c r="E6" s="10"/>
      <c r="F6" s="9" t="s">
        <v>778</v>
      </c>
      <c r="H6" s="10"/>
    </row>
    <row r="7" customFormat="false" ht="15" hidden="false" customHeight="false" outlineLevel="0" collapsed="false">
      <c r="A7" s="9" t="s">
        <v>44</v>
      </c>
      <c r="D7" s="10"/>
      <c r="E7" s="10"/>
      <c r="F7" s="9" t="s">
        <v>778</v>
      </c>
      <c r="H7" s="10"/>
    </row>
    <row r="8" customFormat="false" ht="15" hidden="false" customHeight="false" outlineLevel="0" collapsed="false">
      <c r="A8" s="9" t="s">
        <v>375</v>
      </c>
      <c r="D8" s="10"/>
      <c r="E8" s="10"/>
      <c r="F8" s="9" t="s">
        <v>778</v>
      </c>
      <c r="H8" s="10"/>
    </row>
    <row r="9" customFormat="false" ht="15" hidden="false" customHeight="false" outlineLevel="0" collapsed="false">
      <c r="A9" s="9" t="s">
        <v>307</v>
      </c>
      <c r="D9" s="10"/>
      <c r="E9" s="10"/>
      <c r="F9" s="9" t="s">
        <v>778</v>
      </c>
      <c r="H9" s="10"/>
    </row>
    <row r="10" customFormat="false" ht="15" hidden="false" customHeight="false" outlineLevel="0" collapsed="false">
      <c r="A10" s="9" t="s">
        <v>505</v>
      </c>
      <c r="D10" s="10"/>
      <c r="E10" s="10"/>
      <c r="F10" s="9" t="s">
        <v>778</v>
      </c>
      <c r="H10" s="10"/>
    </row>
    <row r="11" customFormat="false" ht="15" hidden="false" customHeight="false" outlineLevel="0" collapsed="false">
      <c r="A11" s="9" t="s">
        <v>480</v>
      </c>
      <c r="D11" s="10"/>
      <c r="E11" s="10"/>
      <c r="F11" s="9" t="s">
        <v>778</v>
      </c>
      <c r="H11" s="10"/>
    </row>
    <row r="12" customFormat="false" ht="15" hidden="false" customHeight="false" outlineLevel="0" collapsed="false">
      <c r="A12" s="9" t="s">
        <v>418</v>
      </c>
      <c r="D12" s="10"/>
      <c r="E12" s="10"/>
      <c r="F12" s="9" t="s">
        <v>778</v>
      </c>
      <c r="H12" s="10"/>
    </row>
    <row r="13" customFormat="false" ht="15" hidden="false" customHeight="false" outlineLevel="0" collapsed="false">
      <c r="A13" s="9" t="s">
        <v>499</v>
      </c>
      <c r="D13" s="10"/>
      <c r="E13" s="10"/>
      <c r="F13" s="9" t="s">
        <v>778</v>
      </c>
      <c r="H13" s="10"/>
    </row>
    <row r="14" customFormat="false" ht="15" hidden="false" customHeight="false" outlineLevel="0" collapsed="false">
      <c r="A14" s="9" t="s">
        <v>211</v>
      </c>
      <c r="D14" s="10"/>
      <c r="E14" s="10"/>
      <c r="F14" s="9" t="s">
        <v>778</v>
      </c>
      <c r="H14" s="10"/>
    </row>
    <row r="15" customFormat="false" ht="15" hidden="false" customHeight="false" outlineLevel="0" collapsed="false">
      <c r="A15" s="9" t="s">
        <v>68</v>
      </c>
      <c r="D15" s="10"/>
      <c r="E15" s="10"/>
      <c r="F15" s="9" t="s">
        <v>778</v>
      </c>
      <c r="H15" s="10"/>
    </row>
    <row r="16" customFormat="false" ht="15" hidden="false" customHeight="false" outlineLevel="0" collapsed="false">
      <c r="A16" s="9" t="s">
        <v>256</v>
      </c>
      <c r="D16" s="10"/>
      <c r="E16" s="10"/>
      <c r="F16" s="9" t="s">
        <v>778</v>
      </c>
      <c r="H16" s="10"/>
    </row>
    <row r="17" customFormat="false" ht="15" hidden="false" customHeight="false" outlineLevel="0" collapsed="false">
      <c r="A17" s="9" t="s">
        <v>382</v>
      </c>
      <c r="D17" s="10"/>
      <c r="E17" s="10"/>
      <c r="F17" s="9" t="s">
        <v>778</v>
      </c>
      <c r="H17" s="10"/>
    </row>
    <row r="18" customFormat="false" ht="15" hidden="false" customHeight="false" outlineLevel="0" collapsed="false">
      <c r="A18" s="9" t="s">
        <v>391</v>
      </c>
      <c r="D18" s="10"/>
      <c r="E18" s="10"/>
      <c r="F18" s="9" t="s">
        <v>778</v>
      </c>
      <c r="H18" s="10"/>
    </row>
    <row r="19" customFormat="false" ht="15" hidden="false" customHeight="false" outlineLevel="0" collapsed="false">
      <c r="A19" s="9" t="s">
        <v>158</v>
      </c>
      <c r="D19" s="10"/>
      <c r="E19" s="10"/>
      <c r="F19" s="9" t="s">
        <v>778</v>
      </c>
      <c r="H19" s="10"/>
    </row>
    <row r="20" customFormat="false" ht="15" hidden="false" customHeight="false" outlineLevel="0" collapsed="false">
      <c r="A20" s="9" t="s">
        <v>487</v>
      </c>
      <c r="D20" s="10"/>
      <c r="E20" s="10"/>
      <c r="F20" s="9" t="s">
        <v>778</v>
      </c>
      <c r="H20" s="10"/>
    </row>
    <row r="21" customFormat="false" ht="15" hidden="false" customHeight="false" outlineLevel="0" collapsed="false">
      <c r="A21" s="9" t="s">
        <v>551</v>
      </c>
      <c r="D21" s="10"/>
      <c r="E21" s="10"/>
      <c r="F21" s="9" t="s">
        <v>778</v>
      </c>
      <c r="H21" s="10"/>
    </row>
    <row r="22" customFormat="false" ht="15" hidden="false" customHeight="false" outlineLevel="0" collapsed="false">
      <c r="A22" s="9" t="s">
        <v>532</v>
      </c>
      <c r="D22" s="10"/>
      <c r="E22" s="10"/>
      <c r="F22" s="9" t="s">
        <v>778</v>
      </c>
      <c r="H22" s="10"/>
    </row>
    <row r="23" customFormat="false" ht="15" hidden="false" customHeight="false" outlineLevel="0" collapsed="false">
      <c r="A23" s="9" t="s">
        <v>280</v>
      </c>
      <c r="D23" s="10"/>
      <c r="E23" s="10"/>
      <c r="F23" s="9" t="s">
        <v>778</v>
      </c>
      <c r="H23" s="10"/>
    </row>
    <row r="24" customFormat="false" ht="15" hidden="false" customHeight="false" outlineLevel="0" collapsed="false">
      <c r="A24" s="9" t="s">
        <v>313</v>
      </c>
      <c r="D24" s="10"/>
      <c r="E24" s="10"/>
      <c r="F24" s="9" t="s">
        <v>778</v>
      </c>
      <c r="H24" s="10"/>
    </row>
    <row r="25" customFormat="false" ht="15" hidden="false" customHeight="false" outlineLevel="0" collapsed="false">
      <c r="A25" s="9" t="s">
        <v>298</v>
      </c>
      <c r="D25" s="10"/>
      <c r="E25" s="10"/>
      <c r="F25" s="9" t="s">
        <v>778</v>
      </c>
      <c r="H25" s="10"/>
    </row>
    <row r="26" customFormat="false" ht="15" hidden="false" customHeight="false" outlineLevel="0" collapsed="false">
      <c r="A26" s="9" t="s">
        <v>514</v>
      </c>
      <c r="D26" s="10"/>
      <c r="E26" s="10"/>
      <c r="F26" s="9" t="s">
        <v>778</v>
      </c>
      <c r="H26" s="10"/>
    </row>
    <row r="27" customFormat="false" ht="15" hidden="false" customHeight="false" outlineLevel="0" collapsed="false">
      <c r="A27" s="9" t="s">
        <v>245</v>
      </c>
      <c r="D27" s="10"/>
      <c r="E27" s="10"/>
      <c r="F27" s="9" t="s">
        <v>778</v>
      </c>
      <c r="H27" s="10"/>
    </row>
    <row r="28" customFormat="false" ht="15" hidden="false" customHeight="false" outlineLevel="0" collapsed="false">
      <c r="A28" s="9" t="s">
        <v>544</v>
      </c>
      <c r="D28" s="10"/>
      <c r="E28" s="10"/>
      <c r="F28" s="9" t="s">
        <v>778</v>
      </c>
      <c r="H28" s="10"/>
    </row>
    <row r="29" customFormat="false" ht="15" hidden="false" customHeight="false" outlineLevel="0" collapsed="false">
      <c r="A29" s="9" t="s">
        <v>442</v>
      </c>
      <c r="D29" s="10"/>
      <c r="E29" s="10"/>
      <c r="F29" s="9" t="s">
        <v>778</v>
      </c>
      <c r="H29" s="10"/>
    </row>
    <row r="30" customFormat="false" ht="15" hidden="false" customHeight="false" outlineLevel="0" collapsed="false">
      <c r="A30" s="9" t="s">
        <v>400</v>
      </c>
      <c r="D30" s="10"/>
      <c r="E30" s="10"/>
      <c r="F30" s="9" t="s">
        <v>778</v>
      </c>
      <c r="H30" s="10"/>
    </row>
    <row r="31" customFormat="false" ht="15" hidden="false" customHeight="false" outlineLevel="0" collapsed="false">
      <c r="A31" s="9" t="s">
        <v>387</v>
      </c>
      <c r="D31" s="10"/>
      <c r="E31" s="10"/>
      <c r="F31" s="9" t="s">
        <v>778</v>
      </c>
      <c r="H31" s="10"/>
    </row>
    <row r="32" customFormat="false" ht="15" hidden="false" customHeight="false" outlineLevel="0" collapsed="false">
      <c r="A32" s="9" t="s">
        <v>412</v>
      </c>
      <c r="D32" s="10"/>
      <c r="E32" s="10"/>
      <c r="F32" s="9" t="s">
        <v>778</v>
      </c>
      <c r="H32" s="10"/>
    </row>
    <row r="33" customFormat="false" ht="15" hidden="false" customHeight="false" outlineLevel="0" collapsed="false">
      <c r="A33" s="9" t="s">
        <v>612</v>
      </c>
      <c r="D33" s="10"/>
      <c r="E33" s="10"/>
      <c r="F33" s="9" t="s">
        <v>778</v>
      </c>
      <c r="H33" s="10"/>
    </row>
    <row r="34" customFormat="false" ht="15" hidden="false" customHeight="false" outlineLevel="0" collapsed="false">
      <c r="A34" s="9" t="s">
        <v>425</v>
      </c>
      <c r="D34" s="10"/>
      <c r="E34" s="10"/>
      <c r="F34" s="9" t="s">
        <v>778</v>
      </c>
      <c r="H34" s="10"/>
    </row>
    <row r="35" customFormat="false" ht="15" hidden="false" customHeight="false" outlineLevel="0" collapsed="false">
      <c r="A35" s="9" t="s">
        <v>436</v>
      </c>
      <c r="D35" s="10"/>
      <c r="E35" s="10"/>
      <c r="F35" s="9" t="s">
        <v>778</v>
      </c>
      <c r="H35" s="10"/>
    </row>
    <row r="36" customFormat="false" ht="15" hidden="false" customHeight="false" outlineLevel="0" collapsed="false">
      <c r="A36" s="9" t="s">
        <v>406</v>
      </c>
      <c r="D36" s="10"/>
      <c r="E36" s="10"/>
      <c r="F36" s="9" t="s">
        <v>778</v>
      </c>
      <c r="H36" s="10"/>
    </row>
    <row r="37" customFormat="false" ht="15" hidden="false" customHeight="false" outlineLevel="0" collapsed="false">
      <c r="A37" s="9" t="s">
        <v>148</v>
      </c>
      <c r="D37" s="10"/>
      <c r="E37" s="10"/>
      <c r="F37" s="9" t="s">
        <v>778</v>
      </c>
      <c r="H37" s="10"/>
    </row>
    <row r="38" customFormat="false" ht="15" hidden="false" customHeight="false" outlineLevel="0" collapsed="false">
      <c r="A38" s="9" t="s">
        <v>166</v>
      </c>
      <c r="D38" s="10"/>
      <c r="E38" s="10"/>
      <c r="F38" s="9" t="s">
        <v>778</v>
      </c>
      <c r="H38" s="10"/>
    </row>
    <row r="39" customFormat="false" ht="15" hidden="false" customHeight="false" outlineLevel="0" collapsed="false">
      <c r="A39" s="9" t="s">
        <v>332</v>
      </c>
      <c r="D39" s="10"/>
      <c r="E39" s="10"/>
      <c r="F39" s="9" t="s">
        <v>778</v>
      </c>
      <c r="H39" s="10"/>
    </row>
    <row r="40" customFormat="false" ht="15" hidden="false" customHeight="false" outlineLevel="0" collapsed="false">
      <c r="A40" s="9" t="s">
        <v>81</v>
      </c>
      <c r="D40" s="10"/>
      <c r="E40" s="10"/>
      <c r="F40" s="9" t="s">
        <v>778</v>
      </c>
      <c r="H40" s="10"/>
    </row>
    <row r="41" customFormat="false" ht="15" hidden="false" customHeight="false" outlineLevel="0" collapsed="false">
      <c r="A41" s="9" t="s">
        <v>339</v>
      </c>
      <c r="D41" s="10"/>
      <c r="E41" s="10"/>
      <c r="F41" s="9" t="s">
        <v>778</v>
      </c>
      <c r="H41" s="10"/>
    </row>
    <row r="42" customFormat="false" ht="15" hidden="false" customHeight="false" outlineLevel="0" collapsed="false">
      <c r="A42" s="9" t="s">
        <v>354</v>
      </c>
      <c r="D42" s="10"/>
      <c r="E42" s="10"/>
      <c r="F42" s="9" t="s">
        <v>778</v>
      </c>
      <c r="H42" s="10"/>
    </row>
    <row r="43" customFormat="false" ht="15" hidden="false" customHeight="false" outlineLevel="0" collapsed="false">
      <c r="A43" s="9" t="s">
        <v>369</v>
      </c>
      <c r="D43" s="10"/>
      <c r="E43" s="10"/>
      <c r="F43" s="9" t="s">
        <v>778</v>
      </c>
      <c r="H43" s="10"/>
    </row>
    <row r="44" customFormat="false" ht="15" hidden="false" customHeight="false" outlineLevel="0" collapsed="false">
      <c r="A44" s="9" t="s">
        <v>346</v>
      </c>
      <c r="D44" s="10"/>
      <c r="E44" s="10"/>
      <c r="F44" s="9" t="s">
        <v>778</v>
      </c>
      <c r="H44" s="10"/>
    </row>
    <row r="45" customFormat="false" ht="15" hidden="false" customHeight="false" outlineLevel="0" collapsed="false">
      <c r="A45" s="9" t="s">
        <v>556</v>
      </c>
      <c r="D45" s="10"/>
      <c r="E45" s="10"/>
      <c r="F45" s="9" t="s">
        <v>778</v>
      </c>
      <c r="H45" s="10"/>
    </row>
    <row r="46" customFormat="false" ht="15" hidden="false" customHeight="false" outlineLevel="0" collapsed="false">
      <c r="A46" s="9" t="s">
        <v>395</v>
      </c>
      <c r="D46" s="10"/>
      <c r="E46" s="10"/>
      <c r="F46" s="9" t="s">
        <v>778</v>
      </c>
      <c r="H46" s="10"/>
    </row>
    <row r="47" customFormat="false" ht="15" hidden="false" customHeight="false" outlineLevel="0" collapsed="false">
      <c r="A47" s="9" t="s">
        <v>362</v>
      </c>
      <c r="D47" s="10"/>
      <c r="E47" s="10"/>
      <c r="F47" s="9" t="s">
        <v>778</v>
      </c>
      <c r="H47" s="10"/>
    </row>
    <row r="48" customFormat="false" ht="15" hidden="false" customHeight="false" outlineLevel="0" collapsed="false">
      <c r="A48" s="9" t="s">
        <v>648</v>
      </c>
      <c r="D48" s="10"/>
      <c r="E48" s="10"/>
      <c r="F48" s="9" t="s">
        <v>778</v>
      </c>
      <c r="H48" s="10"/>
    </row>
    <row r="49" customFormat="false" ht="15" hidden="false" customHeight="false" outlineLevel="0" collapsed="false">
      <c r="A49" s="9" t="s">
        <v>264</v>
      </c>
      <c r="D49" s="10"/>
      <c r="E49" s="10"/>
      <c r="F49" s="9" t="s">
        <v>778</v>
      </c>
      <c r="H49" s="10"/>
    </row>
    <row r="50" customFormat="false" ht="15" hidden="false" customHeight="false" outlineLevel="0" collapsed="false">
      <c r="A50" s="9" t="s">
        <v>176</v>
      </c>
      <c r="D50" s="10"/>
      <c r="E50" s="10"/>
      <c r="F50" s="9" t="s">
        <v>778</v>
      </c>
      <c r="H50" s="10"/>
    </row>
    <row r="51" customFormat="false" ht="15" hidden="false" customHeight="false" outlineLevel="0" collapsed="false">
      <c r="A51" s="9" t="s">
        <v>197</v>
      </c>
      <c r="D51" s="10"/>
      <c r="E51" s="10"/>
      <c r="F51" s="9" t="s">
        <v>778</v>
      </c>
      <c r="H51" s="10"/>
    </row>
    <row r="52" customFormat="false" ht="15" hidden="false" customHeight="false" outlineLevel="0" collapsed="false">
      <c r="A52" s="9" t="s">
        <v>661</v>
      </c>
      <c r="D52" s="10"/>
      <c r="E52" s="10"/>
      <c r="F52" s="9" t="s">
        <v>778</v>
      </c>
      <c r="H52" s="10"/>
    </row>
    <row r="53" customFormat="false" ht="15" hidden="false" customHeight="false" outlineLevel="0" collapsed="false">
      <c r="A53" s="9" t="s">
        <v>654</v>
      </c>
      <c r="D53" s="10"/>
      <c r="E53" s="10"/>
      <c r="F53" s="9" t="s">
        <v>778</v>
      </c>
      <c r="H53" s="10"/>
    </row>
    <row r="54" customFormat="false" ht="15" hidden="false" customHeight="false" outlineLevel="0" collapsed="false">
      <c r="A54" s="9" t="s">
        <v>581</v>
      </c>
      <c r="D54" s="10"/>
      <c r="E54" s="10"/>
      <c r="F54" s="9" t="s">
        <v>778</v>
      </c>
      <c r="H54" s="10"/>
    </row>
    <row r="55" customFormat="false" ht="15" hidden="false" customHeight="false" outlineLevel="0" collapsed="false">
      <c r="A55" s="9" t="s">
        <v>586</v>
      </c>
      <c r="D55" s="10"/>
      <c r="E55" s="10"/>
      <c r="F55" s="9" t="s">
        <v>778</v>
      </c>
      <c r="H55" s="10"/>
    </row>
    <row r="56" customFormat="false" ht="15" hidden="false" customHeight="false" outlineLevel="0" collapsed="false">
      <c r="A56" s="9" t="s">
        <v>591</v>
      </c>
      <c r="D56" s="10"/>
      <c r="E56" s="10"/>
      <c r="F56" s="9" t="s">
        <v>778</v>
      </c>
      <c r="H56" s="10"/>
    </row>
    <row r="57" customFormat="false" ht="15" hidden="false" customHeight="false" outlineLevel="0" collapsed="false">
      <c r="A57" s="9" t="s">
        <v>576</v>
      </c>
      <c r="D57" s="10"/>
      <c r="E57" s="10"/>
      <c r="F57" s="9" t="s">
        <v>778</v>
      </c>
      <c r="H57" s="10"/>
    </row>
    <row r="58" customFormat="false" ht="15" hidden="false" customHeight="false" outlineLevel="0" collapsed="false">
      <c r="A58" s="9" t="s">
        <v>450</v>
      </c>
      <c r="D58" s="10"/>
      <c r="E58" s="10"/>
      <c r="F58" s="9" t="s">
        <v>778</v>
      </c>
      <c r="H58" s="10"/>
    </row>
    <row r="59" customFormat="false" ht="15" hidden="false" customHeight="false" outlineLevel="0" collapsed="false">
      <c r="A59" s="9" t="s">
        <v>527</v>
      </c>
      <c r="D59" s="10"/>
      <c r="E59" s="10"/>
      <c r="F59" s="9" t="s">
        <v>778</v>
      </c>
      <c r="H59" s="10"/>
    </row>
    <row r="60" customFormat="false" ht="15" hidden="false" customHeight="false" outlineLevel="0" collapsed="false">
      <c r="A60" s="9" t="s">
        <v>597</v>
      </c>
      <c r="D60" s="10"/>
      <c r="E60" s="10"/>
      <c r="F60" s="9" t="s">
        <v>778</v>
      </c>
      <c r="H60" s="10"/>
    </row>
    <row r="61" customFormat="false" ht="15" hidden="false" customHeight="false" outlineLevel="0" collapsed="false">
      <c r="A61" s="9" t="s">
        <v>603</v>
      </c>
      <c r="D61" s="10"/>
      <c r="E61" s="10"/>
      <c r="F61" s="9" t="s">
        <v>778</v>
      </c>
      <c r="H61" s="10"/>
    </row>
    <row r="62" customFormat="false" ht="15" hidden="false" customHeight="false" outlineLevel="0" collapsed="false">
      <c r="A62" s="9" t="s">
        <v>608</v>
      </c>
      <c r="D62" s="10"/>
      <c r="E62" s="10"/>
      <c r="F62" s="9" t="s">
        <v>778</v>
      </c>
      <c r="H62" s="10"/>
    </row>
    <row r="63" customFormat="false" ht="15" hidden="false" customHeight="false" outlineLevel="0" collapsed="false">
      <c r="A63" s="9" t="s">
        <v>494</v>
      </c>
      <c r="D63" s="10"/>
      <c r="E63" s="10"/>
      <c r="F63" s="9" t="s">
        <v>778</v>
      </c>
      <c r="H63" s="10"/>
    </row>
    <row r="64" customFormat="false" ht="15" hidden="false" customHeight="false" outlineLevel="0" collapsed="false">
      <c r="A64" s="9" t="s">
        <v>619</v>
      </c>
      <c r="D64" s="10"/>
      <c r="E64" s="10"/>
      <c r="F64" s="9" t="s">
        <v>778</v>
      </c>
      <c r="H64" s="10"/>
    </row>
    <row r="65" customFormat="false" ht="15" hidden="false" customHeight="false" outlineLevel="0" collapsed="false">
      <c r="A65" s="9" t="s">
        <v>626</v>
      </c>
      <c r="D65" s="10"/>
      <c r="E65" s="10"/>
      <c r="F65" s="9" t="s">
        <v>778</v>
      </c>
      <c r="H65" s="10"/>
    </row>
    <row r="66" customFormat="false" ht="15" hidden="false" customHeight="false" outlineLevel="0" collapsed="false">
      <c r="A66" s="9" t="s">
        <v>561</v>
      </c>
      <c r="D66" s="10"/>
      <c r="E66" s="10"/>
      <c r="F66" s="9" t="s">
        <v>778</v>
      </c>
      <c r="H66" s="10"/>
    </row>
    <row r="67" customFormat="false" ht="15" hidden="false" customHeight="false" outlineLevel="0" collapsed="false">
      <c r="A67" s="9" t="s">
        <v>632</v>
      </c>
      <c r="D67" s="10"/>
      <c r="E67" s="10"/>
      <c r="F67" s="9" t="s">
        <v>778</v>
      </c>
      <c r="H67" s="10"/>
    </row>
    <row r="68" customFormat="false" ht="15" hidden="false" customHeight="false" outlineLevel="0" collapsed="false">
      <c r="A68" s="9" t="s">
        <v>568</v>
      </c>
      <c r="D68" s="10"/>
      <c r="E68" s="10"/>
      <c r="F68" s="9" t="s">
        <v>778</v>
      </c>
      <c r="H68" s="10"/>
    </row>
    <row r="69" customFormat="false" ht="15" hidden="false" customHeight="false" outlineLevel="0" collapsed="false">
      <c r="A69" s="9" t="s">
        <v>274</v>
      </c>
      <c r="D69" s="10"/>
      <c r="E69" s="10"/>
      <c r="F69" s="9" t="s">
        <v>778</v>
      </c>
      <c r="H69" s="10"/>
    </row>
    <row r="70" customFormat="false" ht="15" hidden="false" customHeight="false" outlineLevel="0" collapsed="false">
      <c r="A70" s="9" t="s">
        <v>638</v>
      </c>
      <c r="D70" s="10"/>
      <c r="E70" s="10"/>
      <c r="F70" s="9" t="s">
        <v>778</v>
      </c>
      <c r="H70" s="10"/>
    </row>
    <row r="71" customFormat="false" ht="15" hidden="false" customHeight="false" outlineLevel="0" collapsed="false">
      <c r="A71" s="9" t="s">
        <v>642</v>
      </c>
      <c r="D71" s="10"/>
      <c r="E71" s="10"/>
      <c r="F71" s="9" t="s">
        <v>778</v>
      </c>
      <c r="H71" s="10"/>
    </row>
    <row r="72" customFormat="false" ht="15" hidden="false" customHeight="false" outlineLevel="0" collapsed="false">
      <c r="A72" s="9" t="s">
        <v>538</v>
      </c>
      <c r="D72" s="10"/>
      <c r="E72" s="10"/>
      <c r="F72" s="9" t="s">
        <v>778</v>
      </c>
      <c r="H72" s="10"/>
    </row>
    <row r="73" customFormat="false" ht="15" hidden="false" customHeight="false" outlineLevel="0" collapsed="false">
      <c r="A73" s="9" t="s">
        <v>432</v>
      </c>
      <c r="D73" s="10"/>
      <c r="E73" s="10"/>
      <c r="F73" s="9" t="s">
        <v>778</v>
      </c>
      <c r="H73" s="10"/>
    </row>
    <row r="74" customFormat="false" ht="15" hidden="false" customHeight="false" outlineLevel="0" collapsed="false">
      <c r="A74" s="9" t="s">
        <v>688</v>
      </c>
      <c r="D74" s="10"/>
      <c r="E74" s="10"/>
      <c r="F74" s="9" t="s">
        <v>778</v>
      </c>
      <c r="H74" s="10"/>
    </row>
    <row r="75" customFormat="false" ht="15" hidden="false" customHeight="false" outlineLevel="0" collapsed="false">
      <c r="A75" s="9" t="s">
        <v>669</v>
      </c>
      <c r="D75" s="10"/>
      <c r="E75" s="10"/>
      <c r="F75" s="9" t="s">
        <v>778</v>
      </c>
      <c r="H75" s="10"/>
    </row>
    <row r="76" customFormat="false" ht="15" hidden="false" customHeight="false" outlineLevel="0" collapsed="false">
      <c r="A76" s="9" t="s">
        <v>456</v>
      </c>
      <c r="D76" s="10"/>
      <c r="E76" s="10"/>
      <c r="F76" s="9" t="s">
        <v>778</v>
      </c>
      <c r="H76" s="10"/>
    </row>
    <row r="77" customFormat="false" ht="15" hidden="false" customHeight="false" outlineLevel="0" collapsed="false">
      <c r="A77" s="9" t="s">
        <v>466</v>
      </c>
      <c r="D77" s="10"/>
      <c r="E77" s="10"/>
      <c r="F77" s="9" t="s">
        <v>778</v>
      </c>
      <c r="H77" s="10"/>
    </row>
    <row r="78" customFormat="false" ht="15" hidden="false" customHeight="false" outlineLevel="0" collapsed="false">
      <c r="A78" s="9" t="s">
        <v>288</v>
      </c>
      <c r="D78" s="10"/>
      <c r="E78" s="10"/>
      <c r="F78" s="9" t="s">
        <v>778</v>
      </c>
      <c r="H78" s="10"/>
    </row>
    <row r="79" customFormat="false" ht="15" hidden="false" customHeight="false" outlineLevel="0" collapsed="false">
      <c r="A79" s="9" t="s">
        <v>186</v>
      </c>
      <c r="D79" s="10"/>
      <c r="E79" s="10"/>
      <c r="F79" s="9" t="s">
        <v>778</v>
      </c>
      <c r="H79" s="10"/>
    </row>
    <row r="80" customFormat="false" ht="15" hidden="false" customHeight="false" outlineLevel="0" collapsed="false">
      <c r="A80" s="9" t="s">
        <v>92</v>
      </c>
      <c r="D80" s="10"/>
      <c r="E80" s="10"/>
      <c r="F80" s="9" t="s">
        <v>778</v>
      </c>
      <c r="H80" s="10"/>
    </row>
    <row r="81" customFormat="false" ht="15" hidden="false" customHeight="false" outlineLevel="0" collapsed="false">
      <c r="A81" s="9" t="s">
        <v>100</v>
      </c>
      <c r="D81" s="10"/>
      <c r="E81" s="10"/>
      <c r="F81" s="9" t="s">
        <v>778</v>
      </c>
      <c r="H81" s="10"/>
    </row>
    <row r="82" customFormat="false" ht="15" hidden="false" customHeight="false" outlineLevel="0" collapsed="false">
      <c r="A82" s="9" t="s">
        <v>685</v>
      </c>
      <c r="D82" s="10"/>
      <c r="E82" s="10"/>
      <c r="F82" s="9" t="s">
        <v>778</v>
      </c>
      <c r="H82" s="10"/>
    </row>
    <row r="83" customFormat="false" ht="15" hidden="false" customHeight="false" outlineLevel="0" collapsed="false">
      <c r="A83" s="9" t="s">
        <v>476</v>
      </c>
      <c r="D83" s="10"/>
      <c r="E83" s="10"/>
      <c r="F83" s="9" t="s">
        <v>778</v>
      </c>
      <c r="H83" s="10"/>
    </row>
    <row r="84" customFormat="false" ht="15" hidden="false" customHeight="false" outlineLevel="0" collapsed="false">
      <c r="A84" s="9" t="s">
        <v>677</v>
      </c>
      <c r="D84" s="10"/>
      <c r="E84" s="10"/>
      <c r="F84" s="9" t="s">
        <v>778</v>
      </c>
      <c r="H84" s="10"/>
    </row>
    <row r="85" customFormat="false" ht="15" hidden="false" customHeight="false" outlineLevel="0" collapsed="false">
      <c r="A85" s="9" t="s">
        <v>674</v>
      </c>
      <c r="D85" s="10"/>
      <c r="E85" s="10"/>
      <c r="F85" s="9" t="s">
        <v>778</v>
      </c>
      <c r="H85" s="10"/>
    </row>
    <row r="86" customFormat="false" ht="15" hidden="false" customHeight="false" outlineLevel="0" collapsed="false">
      <c r="A86" s="9" t="s">
        <v>680</v>
      </c>
      <c r="D86" s="10"/>
      <c r="E86" s="10"/>
      <c r="F86" s="9" t="s">
        <v>778</v>
      </c>
      <c r="H86" s="10"/>
    </row>
  </sheetData>
  <autoFilter ref="A1:K86"/>
  <dataValidations count="3">
    <dataValidation allowBlank="true" errorStyle="stop" operator="between" showDropDown="false" showErrorMessage="false" showInputMessage="false" sqref="F2:F285" type="list">
      <formula1>"Not contacted,Contacted,Replied,Meeting booked,Proposal sent,Won,Lost,Do not contact"</formula1>
      <formula2>0</formula2>
    </dataValidation>
    <dataValidation allowBlank="true" errorStyle="stop" operator="between" showDropDown="false" showErrorMessage="false" showInputMessage="false" sqref="C2:C285" type="list">
      <formula1>"Email,Phone,WhatsApp,LinkedIn,Visit,Contact form"</formula1>
      <formula2>0</formula2>
    </dataValidation>
    <dataValidation allowBlank="true" errorStyle="stop" operator="between" showDropDown="false" showErrorMessage="false" showInputMessage="false" sqref="I2:I28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2"/>
    <col collapsed="false" customWidth="true" hidden="false" outlineLevel="0" max="3" min="3" style="0" width="22"/>
    <col collapsed="false" customWidth="true" hidden="false" outlineLevel="0" max="4" min="4" style="0" width="12"/>
  </cols>
  <sheetData>
    <row r="1" customFormat="false" ht="30" hidden="false" customHeight="true" outlineLevel="0" collapsed="false">
      <c r="A1" s="1" t="s">
        <v>779</v>
      </c>
      <c r="B1" s="1" t="s">
        <v>780</v>
      </c>
      <c r="C1" s="1" t="s">
        <v>696</v>
      </c>
      <c r="D1" s="1" t="s">
        <v>781</v>
      </c>
    </row>
    <row r="2" customFormat="false" ht="15" hidden="false" customHeight="false" outlineLevel="0" collapsed="false">
      <c r="A2" s="11" t="s">
        <v>434</v>
      </c>
      <c r="B2" s="9" t="n">
        <v>24</v>
      </c>
      <c r="C2" s="9" t="s">
        <v>782</v>
      </c>
      <c r="D2" s="9" t="s">
        <v>66</v>
      </c>
    </row>
    <row r="3" customFormat="false" ht="15" hidden="false" customHeight="false" outlineLevel="0" collapsed="false">
      <c r="A3" s="11" t="s">
        <v>144</v>
      </c>
      <c r="B3" s="9" t="n">
        <v>20</v>
      </c>
      <c r="C3" s="9" t="s">
        <v>783</v>
      </c>
      <c r="D3" s="9" t="s">
        <v>66</v>
      </c>
    </row>
    <row r="4" customFormat="false" ht="15" hidden="false" customHeight="false" outlineLevel="0" collapsed="false">
      <c r="A4" s="11" t="s">
        <v>271</v>
      </c>
      <c r="B4" s="9" t="n">
        <v>10</v>
      </c>
      <c r="C4" s="9" t="s">
        <v>783</v>
      </c>
      <c r="D4" s="9" t="s">
        <v>66</v>
      </c>
    </row>
    <row r="5" customFormat="false" ht="15" hidden="false" customHeight="false" outlineLevel="0" collapsed="false">
      <c r="A5" s="11" t="s">
        <v>301</v>
      </c>
      <c r="B5" s="9" t="n">
        <v>2</v>
      </c>
      <c r="C5" s="9" t="s">
        <v>784</v>
      </c>
      <c r="D5" s="9" t="s">
        <v>66</v>
      </c>
    </row>
    <row r="6" customFormat="false" ht="15" hidden="false" customHeight="false" outlineLevel="0" collapsed="false">
      <c r="A6" s="11" t="s">
        <v>62</v>
      </c>
      <c r="B6" s="9" t="n">
        <v>1</v>
      </c>
      <c r="C6" s="9" t="s">
        <v>785</v>
      </c>
      <c r="D6" s="9" t="s">
        <v>66</v>
      </c>
    </row>
    <row r="7" customFormat="false" ht="15" hidden="false" customHeight="false" outlineLevel="0" collapsed="false">
      <c r="A7" s="11" t="s">
        <v>53</v>
      </c>
      <c r="B7" s="9" t="n">
        <v>1</v>
      </c>
      <c r="C7" s="9" t="s">
        <v>784</v>
      </c>
      <c r="D7" s="9" t="s">
        <v>66</v>
      </c>
    </row>
    <row r="8" customFormat="false" ht="15" hidden="false" customHeight="false" outlineLevel="0" collapsed="false">
      <c r="A8" s="11" t="s">
        <v>786</v>
      </c>
      <c r="B8" s="9" t="n">
        <v>1</v>
      </c>
      <c r="C8" s="9" t="s">
        <v>785</v>
      </c>
      <c r="D8" s="9" t="s">
        <v>66</v>
      </c>
    </row>
    <row r="9" customFormat="false" ht="15" hidden="false" customHeight="false" outlineLevel="0" collapsed="false">
      <c r="A9" s="11" t="s">
        <v>71</v>
      </c>
      <c r="B9" s="9" t="n">
        <v>1</v>
      </c>
      <c r="C9" s="9" t="s">
        <v>784</v>
      </c>
      <c r="D9" s="9" t="s">
        <v>66</v>
      </c>
    </row>
    <row r="10" customFormat="false" ht="15" hidden="false" customHeight="false" outlineLevel="0" collapsed="false">
      <c r="A10" s="11" t="s">
        <v>787</v>
      </c>
      <c r="B10" s="9" t="n">
        <v>1</v>
      </c>
      <c r="C10" s="9" t="s">
        <v>783</v>
      </c>
      <c r="D10" s="9" t="s">
        <v>66</v>
      </c>
    </row>
    <row r="11" customFormat="false" ht="15" hidden="false" customHeight="false" outlineLevel="0" collapsed="false">
      <c r="A11" s="11" t="s">
        <v>717</v>
      </c>
      <c r="B11" s="9" t="n">
        <v>1</v>
      </c>
      <c r="C11" s="9" t="s">
        <v>784</v>
      </c>
      <c r="D11" s="9" t="s">
        <v>66</v>
      </c>
    </row>
    <row r="12" customFormat="false" ht="15" hidden="false" customHeight="false" outlineLevel="0" collapsed="false">
      <c r="A12" s="11" t="s">
        <v>94</v>
      </c>
      <c r="B12" s="9" t="n">
        <v>1</v>
      </c>
      <c r="C12" s="9" t="s">
        <v>784</v>
      </c>
      <c r="D12" s="9" t="s">
        <v>66</v>
      </c>
    </row>
    <row r="13" customFormat="false" ht="15" hidden="false" customHeight="false" outlineLevel="0" collapsed="false">
      <c r="A13" s="11" t="s">
        <v>788</v>
      </c>
      <c r="B13" s="9" t="n">
        <v>1</v>
      </c>
      <c r="C13" s="9" t="s">
        <v>785</v>
      </c>
      <c r="D13" s="9" t="s">
        <v>66</v>
      </c>
    </row>
    <row r="14" customFormat="false" ht="15" hidden="false" customHeight="false" outlineLevel="0" collapsed="false">
      <c r="A14" s="11" t="s">
        <v>107</v>
      </c>
      <c r="B14" s="9" t="n">
        <v>1</v>
      </c>
      <c r="C14" s="9" t="s">
        <v>784</v>
      </c>
      <c r="D14" s="9" t="s">
        <v>66</v>
      </c>
    </row>
    <row r="15" customFormat="false" ht="15" hidden="false" customHeight="false" outlineLevel="0" collapsed="false">
      <c r="A15" s="11" t="s">
        <v>129</v>
      </c>
      <c r="B15" s="9" t="n">
        <v>1</v>
      </c>
      <c r="C15" s="9" t="s">
        <v>785</v>
      </c>
      <c r="D15" s="9" t="s">
        <v>66</v>
      </c>
    </row>
    <row r="16" customFormat="false" ht="15" hidden="false" customHeight="false" outlineLevel="0" collapsed="false">
      <c r="A16" s="11" t="s">
        <v>122</v>
      </c>
      <c r="B16" s="9" t="n">
        <v>1</v>
      </c>
      <c r="C16" s="9" t="s">
        <v>784</v>
      </c>
      <c r="D16" s="9" t="s">
        <v>66</v>
      </c>
    </row>
    <row r="17" customFormat="false" ht="15" hidden="false" customHeight="false" outlineLevel="0" collapsed="false">
      <c r="A17" s="11" t="s">
        <v>789</v>
      </c>
      <c r="B17" s="9" t="n">
        <v>1</v>
      </c>
      <c r="C17" s="9" t="s">
        <v>785</v>
      </c>
      <c r="D17" s="9" t="s">
        <v>66</v>
      </c>
    </row>
    <row r="18" customFormat="false" ht="15" hidden="false" customHeight="false" outlineLevel="0" collapsed="false">
      <c r="A18" s="11" t="s">
        <v>138</v>
      </c>
      <c r="B18" s="9" t="n">
        <v>1</v>
      </c>
      <c r="C18" s="9" t="s">
        <v>784</v>
      </c>
      <c r="D18" s="9" t="s">
        <v>66</v>
      </c>
    </row>
    <row r="19" customFormat="false" ht="15" hidden="false" customHeight="false" outlineLevel="0" collapsed="false">
      <c r="A19" s="11" t="s">
        <v>790</v>
      </c>
      <c r="B19" s="9" t="n">
        <v>1</v>
      </c>
      <c r="C19" s="9" t="s">
        <v>785</v>
      </c>
      <c r="D19" s="9" t="s">
        <v>66</v>
      </c>
    </row>
    <row r="20" customFormat="false" ht="15" hidden="false" customHeight="false" outlineLevel="0" collapsed="false">
      <c r="A20" s="11" t="s">
        <v>791</v>
      </c>
      <c r="B20" s="9" t="n">
        <v>1</v>
      </c>
      <c r="C20" s="9" t="s">
        <v>785</v>
      </c>
      <c r="D20" s="9" t="s">
        <v>66</v>
      </c>
    </row>
    <row r="21" customFormat="false" ht="15" hidden="false" customHeight="false" outlineLevel="0" collapsed="false">
      <c r="A21" s="11" t="s">
        <v>792</v>
      </c>
      <c r="B21" s="9" t="n">
        <v>1</v>
      </c>
      <c r="C21" s="9" t="s">
        <v>785</v>
      </c>
      <c r="D21" s="9" t="s">
        <v>66</v>
      </c>
    </row>
    <row r="22" customFormat="false" ht="15" hidden="false" customHeight="false" outlineLevel="0" collapsed="false">
      <c r="A22" s="11" t="s">
        <v>793</v>
      </c>
      <c r="B22" s="9" t="n">
        <v>1</v>
      </c>
      <c r="C22" s="9" t="s">
        <v>785</v>
      </c>
      <c r="D22" s="9" t="s">
        <v>66</v>
      </c>
    </row>
    <row r="23" customFormat="false" ht="15" hidden="false" customHeight="false" outlineLevel="0" collapsed="false">
      <c r="A23" s="11" t="s">
        <v>170</v>
      </c>
      <c r="B23" s="9" t="n">
        <v>1</v>
      </c>
      <c r="C23" s="9" t="s">
        <v>784</v>
      </c>
      <c r="D23" s="9" t="s">
        <v>66</v>
      </c>
    </row>
    <row r="24" customFormat="false" ht="15" hidden="false" customHeight="false" outlineLevel="0" collapsed="false">
      <c r="A24" s="11" t="s">
        <v>180</v>
      </c>
      <c r="B24" s="9" t="n">
        <v>1</v>
      </c>
      <c r="C24" s="9" t="s">
        <v>784</v>
      </c>
      <c r="D24" s="9" t="s">
        <v>66</v>
      </c>
    </row>
    <row r="25" customFormat="false" ht="15" hidden="false" customHeight="false" outlineLevel="0" collapsed="false">
      <c r="A25" s="11" t="s">
        <v>794</v>
      </c>
      <c r="B25" s="9" t="n">
        <v>1</v>
      </c>
      <c r="C25" s="9" t="s">
        <v>785</v>
      </c>
      <c r="D25" s="9" t="s">
        <v>66</v>
      </c>
    </row>
    <row r="26" customFormat="false" ht="15" hidden="false" customHeight="false" outlineLevel="0" collapsed="false">
      <c r="A26" s="11" t="s">
        <v>190</v>
      </c>
      <c r="B26" s="9" t="n">
        <v>1</v>
      </c>
      <c r="C26" s="9" t="s">
        <v>784</v>
      </c>
      <c r="D26" s="9" t="s">
        <v>66</v>
      </c>
    </row>
    <row r="27" customFormat="false" ht="15" hidden="false" customHeight="false" outlineLevel="0" collapsed="false">
      <c r="A27" s="11" t="s">
        <v>206</v>
      </c>
      <c r="B27" s="9" t="n">
        <v>1</v>
      </c>
      <c r="C27" s="9" t="s">
        <v>785</v>
      </c>
      <c r="D27" s="9" t="s">
        <v>66</v>
      </c>
    </row>
    <row r="28" customFormat="false" ht="15" hidden="false" customHeight="false" outlineLevel="0" collapsed="false">
      <c r="A28" s="11" t="s">
        <v>743</v>
      </c>
      <c r="B28" s="9" t="n">
        <v>1</v>
      </c>
      <c r="C28" s="9" t="s">
        <v>784</v>
      </c>
      <c r="D28" s="9" t="s">
        <v>66</v>
      </c>
    </row>
    <row r="29" customFormat="false" ht="15" hidden="false" customHeight="false" outlineLevel="0" collapsed="false">
      <c r="A29" s="11" t="s">
        <v>216</v>
      </c>
      <c r="B29" s="9" t="n">
        <v>1</v>
      </c>
      <c r="C29" s="9" t="s">
        <v>785</v>
      </c>
      <c r="D29" s="9" t="s">
        <v>66</v>
      </c>
    </row>
    <row r="30" customFormat="false" ht="15" hidden="false" customHeight="false" outlineLevel="0" collapsed="false">
      <c r="A30" s="11" t="s">
        <v>795</v>
      </c>
      <c r="B30" s="9" t="n">
        <v>1</v>
      </c>
      <c r="C30" s="9" t="s">
        <v>785</v>
      </c>
      <c r="D30" s="9" t="s">
        <v>66</v>
      </c>
    </row>
    <row r="31" customFormat="false" ht="15" hidden="false" customHeight="false" outlineLevel="0" collapsed="false">
      <c r="A31" s="11" t="s">
        <v>226</v>
      </c>
      <c r="B31" s="9" t="n">
        <v>1</v>
      </c>
      <c r="C31" s="9" t="s">
        <v>784</v>
      </c>
      <c r="D31" s="9" t="s">
        <v>66</v>
      </c>
    </row>
    <row r="32" customFormat="false" ht="15" hidden="false" customHeight="false" outlineLevel="0" collapsed="false">
      <c r="A32" s="11" t="s">
        <v>796</v>
      </c>
      <c r="B32" s="9" t="n">
        <v>1</v>
      </c>
      <c r="C32" s="9" t="s">
        <v>785</v>
      </c>
      <c r="D32" s="9" t="s">
        <v>66</v>
      </c>
    </row>
    <row r="33" customFormat="false" ht="15" hidden="false" customHeight="false" outlineLevel="0" collapsed="false">
      <c r="A33" s="11" t="s">
        <v>797</v>
      </c>
      <c r="B33" s="9" t="n">
        <v>1</v>
      </c>
      <c r="C33" s="9" t="s">
        <v>785</v>
      </c>
      <c r="D33" s="9" t="s">
        <v>66</v>
      </c>
    </row>
    <row r="34" customFormat="false" ht="15" hidden="false" customHeight="false" outlineLevel="0" collapsed="false">
      <c r="A34" s="11" t="s">
        <v>798</v>
      </c>
      <c r="B34" s="9" t="n">
        <v>1</v>
      </c>
      <c r="C34" s="9" t="s">
        <v>785</v>
      </c>
      <c r="D34" s="9" t="s">
        <v>66</v>
      </c>
    </row>
    <row r="35" customFormat="false" ht="15" hidden="false" customHeight="false" outlineLevel="0" collapsed="false">
      <c r="A35" s="11" t="s">
        <v>304</v>
      </c>
      <c r="B35" s="9" t="n">
        <v>1</v>
      </c>
      <c r="C35" s="9" t="s">
        <v>785</v>
      </c>
      <c r="D35" s="9" t="s">
        <v>66</v>
      </c>
    </row>
    <row r="36" customFormat="false" ht="15" hidden="false" customHeight="false" outlineLevel="0" collapsed="false">
      <c r="A36" s="11" t="s">
        <v>310</v>
      </c>
      <c r="B36" s="9" t="n">
        <v>1</v>
      </c>
      <c r="C36" s="9" t="s">
        <v>785</v>
      </c>
      <c r="D36" s="9" t="s">
        <v>66</v>
      </c>
    </row>
    <row r="37" customFormat="false" ht="15" hidden="false" customHeight="false" outlineLevel="0" collapsed="false">
      <c r="A37" s="11" t="s">
        <v>756</v>
      </c>
      <c r="B37" s="9" t="n">
        <v>1</v>
      </c>
      <c r="C37" s="9" t="s">
        <v>785</v>
      </c>
      <c r="D37" s="9" t="s">
        <v>66</v>
      </c>
    </row>
    <row r="38" customFormat="false" ht="15" hidden="false" customHeight="false" outlineLevel="0" collapsed="false">
      <c r="A38" s="11" t="s">
        <v>799</v>
      </c>
      <c r="B38" s="9" t="n">
        <v>1</v>
      </c>
      <c r="C38" s="9" t="s">
        <v>785</v>
      </c>
      <c r="D38" s="9" t="s">
        <v>66</v>
      </c>
    </row>
    <row r="39" customFormat="false" ht="15" hidden="false" customHeight="false" outlineLevel="0" collapsed="false">
      <c r="A39" s="11" t="s">
        <v>329</v>
      </c>
      <c r="B39" s="9" t="n">
        <v>1</v>
      </c>
      <c r="C39" s="9" t="s">
        <v>785</v>
      </c>
      <c r="D39" s="9" t="s">
        <v>66</v>
      </c>
    </row>
    <row r="40" customFormat="false" ht="15" hidden="false" customHeight="false" outlineLevel="0" collapsed="false">
      <c r="A40" s="11" t="s">
        <v>337</v>
      </c>
      <c r="B40" s="9" t="n">
        <v>1</v>
      </c>
      <c r="C40" s="9" t="s">
        <v>785</v>
      </c>
      <c r="D40" s="9" t="s">
        <v>66</v>
      </c>
    </row>
    <row r="41" customFormat="false" ht="15" hidden="false" customHeight="false" outlineLevel="0" collapsed="false">
      <c r="A41" s="11" t="s">
        <v>344</v>
      </c>
      <c r="B41" s="9" t="n">
        <v>1</v>
      </c>
      <c r="C41" s="9" t="s">
        <v>785</v>
      </c>
      <c r="D41" s="9" t="s">
        <v>66</v>
      </c>
    </row>
    <row r="42" customFormat="false" ht="15" hidden="false" customHeight="false" outlineLevel="0" collapsed="false">
      <c r="A42" s="11" t="s">
        <v>352</v>
      </c>
      <c r="B42" s="9" t="n">
        <v>1</v>
      </c>
      <c r="C42" s="9" t="s">
        <v>785</v>
      </c>
      <c r="D42" s="9" t="s">
        <v>66</v>
      </c>
    </row>
    <row r="43" customFormat="false" ht="15" hidden="false" customHeight="false" outlineLevel="0" collapsed="false">
      <c r="A43" s="11" t="s">
        <v>360</v>
      </c>
      <c r="B43" s="9" t="n">
        <v>1</v>
      </c>
      <c r="C43" s="9" t="s">
        <v>785</v>
      </c>
      <c r="D43" s="9" t="s">
        <v>66</v>
      </c>
    </row>
    <row r="44" customFormat="false" ht="15" hidden="false" customHeight="false" outlineLevel="0" collapsed="false">
      <c r="A44" s="11" t="s">
        <v>367</v>
      </c>
      <c r="B44" s="9" t="n">
        <v>1</v>
      </c>
      <c r="C44" s="9" t="s">
        <v>785</v>
      </c>
      <c r="D44" s="9" t="s">
        <v>66</v>
      </c>
    </row>
    <row r="45" customFormat="false" ht="15" hidden="false" customHeight="false" outlineLevel="0" collapsed="false">
      <c r="A45" s="11" t="s">
        <v>373</v>
      </c>
      <c r="B45" s="9" t="n">
        <v>1</v>
      </c>
      <c r="C45" s="9" t="s">
        <v>785</v>
      </c>
      <c r="D45" s="9" t="s">
        <v>66</v>
      </c>
    </row>
    <row r="46" customFormat="false" ht="15" hidden="false" customHeight="false" outlineLevel="0" collapsed="false">
      <c r="A46" s="11" t="s">
        <v>379</v>
      </c>
      <c r="B46" s="9" t="n">
        <v>1</v>
      </c>
      <c r="C46" s="9" t="s">
        <v>785</v>
      </c>
      <c r="D46" s="9" t="s">
        <v>66</v>
      </c>
    </row>
    <row r="47" customFormat="false" ht="15" hidden="false" customHeight="false" outlineLevel="0" collapsed="false">
      <c r="A47" s="11" t="s">
        <v>385</v>
      </c>
      <c r="B47" s="9" t="n">
        <v>1</v>
      </c>
      <c r="C47" s="9" t="s">
        <v>785</v>
      </c>
      <c r="D47" s="9" t="s">
        <v>66</v>
      </c>
    </row>
    <row r="48" customFormat="false" ht="15" hidden="false" customHeight="false" outlineLevel="0" collapsed="false">
      <c r="A48" s="11" t="s">
        <v>389</v>
      </c>
      <c r="B48" s="9" t="n">
        <v>1</v>
      </c>
      <c r="C48" s="9" t="s">
        <v>785</v>
      </c>
      <c r="D48" s="9" t="s">
        <v>66</v>
      </c>
    </row>
    <row r="49" customFormat="false" ht="15" hidden="false" customHeight="false" outlineLevel="0" collapsed="false">
      <c r="A49" s="11" t="s">
        <v>393</v>
      </c>
      <c r="B49" s="9" t="n">
        <v>1</v>
      </c>
      <c r="C49" s="9" t="s">
        <v>785</v>
      </c>
      <c r="D49" s="9" t="s">
        <v>66</v>
      </c>
    </row>
    <row r="50" customFormat="false" ht="15" hidden="false" customHeight="false" outlineLevel="0" collapsed="false">
      <c r="A50" s="11" t="s">
        <v>398</v>
      </c>
      <c r="B50" s="9" t="n">
        <v>1</v>
      </c>
      <c r="C50" s="9" t="s">
        <v>785</v>
      </c>
      <c r="D50" s="9" t="s">
        <v>66</v>
      </c>
    </row>
    <row r="51" customFormat="false" ht="15" hidden="false" customHeight="false" outlineLevel="0" collapsed="false">
      <c r="A51" s="11" t="s">
        <v>403</v>
      </c>
      <c r="B51" s="9" t="n">
        <v>1</v>
      </c>
      <c r="C51" s="9" t="s">
        <v>785</v>
      </c>
      <c r="D51" s="9" t="s">
        <v>66</v>
      </c>
    </row>
    <row r="52" customFormat="false" ht="15" hidden="false" customHeight="false" outlineLevel="0" collapsed="false">
      <c r="A52" s="11" t="s">
        <v>410</v>
      </c>
      <c r="B52" s="9" t="n">
        <v>1</v>
      </c>
      <c r="C52" s="9" t="s">
        <v>785</v>
      </c>
      <c r="D52" s="9" t="s">
        <v>66</v>
      </c>
    </row>
    <row r="53" customFormat="false" ht="15" hidden="false" customHeight="false" outlineLevel="0" collapsed="false">
      <c r="A53" s="11" t="s">
        <v>416</v>
      </c>
      <c r="B53" s="9" t="n">
        <v>1</v>
      </c>
      <c r="C53" s="9" t="s">
        <v>785</v>
      </c>
      <c r="D53" s="9" t="s">
        <v>66</v>
      </c>
    </row>
    <row r="54" customFormat="false" ht="15" hidden="false" customHeight="false" outlineLevel="0" collapsed="false">
      <c r="A54" s="11" t="s">
        <v>422</v>
      </c>
      <c r="B54" s="9" t="n">
        <v>1</v>
      </c>
      <c r="C54" s="9" t="s">
        <v>785</v>
      </c>
      <c r="D54" s="9" t="s">
        <v>66</v>
      </c>
    </row>
    <row r="55" customFormat="false" ht="15" hidden="false" customHeight="false" outlineLevel="0" collapsed="false">
      <c r="A55" s="11" t="s">
        <v>429</v>
      </c>
      <c r="B55" s="9" t="n">
        <v>1</v>
      </c>
      <c r="C55" s="9" t="s">
        <v>785</v>
      </c>
      <c r="D55" s="9" t="s">
        <v>66</v>
      </c>
    </row>
    <row r="56" customFormat="false" ht="15" hidden="false" customHeight="false" outlineLevel="0" collapsed="false">
      <c r="A56" s="11" t="s">
        <v>440</v>
      </c>
      <c r="B56" s="9" t="n">
        <v>1</v>
      </c>
      <c r="C56" s="9" t="s">
        <v>785</v>
      </c>
      <c r="D56" s="9" t="s">
        <v>66</v>
      </c>
    </row>
    <row r="57" customFormat="false" ht="15" hidden="false" customHeight="false" outlineLevel="0" collapsed="false">
      <c r="A57" s="11" t="s">
        <v>447</v>
      </c>
      <c r="B57" s="9" t="n">
        <v>1</v>
      </c>
      <c r="C57" s="9" t="s">
        <v>785</v>
      </c>
      <c r="D57" s="9" t="s">
        <v>66</v>
      </c>
    </row>
    <row r="58" customFormat="false" ht="15" hidden="false" customHeight="false" outlineLevel="0" collapsed="false">
      <c r="A58" s="11" t="s">
        <v>800</v>
      </c>
      <c r="B58" s="9" t="n">
        <v>1</v>
      </c>
      <c r="C58" s="9" t="s">
        <v>785</v>
      </c>
      <c r="D58" s="9" t="s">
        <v>66</v>
      </c>
    </row>
    <row r="59" customFormat="false" ht="15" hidden="false" customHeight="false" outlineLevel="0" collapsed="false">
      <c r="A59" s="11" t="s">
        <v>801</v>
      </c>
      <c r="B59" s="9" t="n">
        <v>1</v>
      </c>
      <c r="C59" s="9" t="s">
        <v>785</v>
      </c>
      <c r="D59" s="9" t="s">
        <v>66</v>
      </c>
    </row>
    <row r="60" customFormat="false" ht="15" hidden="false" customHeight="false" outlineLevel="0" collapsed="false">
      <c r="A60" s="11" t="s">
        <v>802</v>
      </c>
      <c r="B60" s="9" t="n">
        <v>1</v>
      </c>
      <c r="C60" s="9" t="s">
        <v>785</v>
      </c>
      <c r="D60" s="9" t="s">
        <v>66</v>
      </c>
    </row>
    <row r="61" customFormat="false" ht="15" hidden="false" customHeight="false" outlineLevel="0" collapsed="false">
      <c r="A61" s="11" t="s">
        <v>757</v>
      </c>
      <c r="B61" s="9" t="n">
        <v>1</v>
      </c>
      <c r="C61" s="9" t="s">
        <v>784</v>
      </c>
      <c r="D61" s="9" t="s">
        <v>66</v>
      </c>
    </row>
    <row r="62" customFormat="false" ht="15" hidden="false" customHeight="false" outlineLevel="0" collapsed="false">
      <c r="A62" s="11" t="s">
        <v>803</v>
      </c>
      <c r="B62" s="9" t="n">
        <v>1</v>
      </c>
      <c r="C62" s="9" t="s">
        <v>785</v>
      </c>
      <c r="D62" s="9" t="s">
        <v>66</v>
      </c>
    </row>
    <row r="63" customFormat="false" ht="15" hidden="false" customHeight="false" outlineLevel="0" collapsed="false">
      <c r="A63" s="11" t="s">
        <v>760</v>
      </c>
      <c r="B63" s="9" t="n">
        <v>1</v>
      </c>
      <c r="C63" s="9" t="s">
        <v>784</v>
      </c>
      <c r="D63" s="9" t="s">
        <v>66</v>
      </c>
    </row>
    <row r="64" customFormat="false" ht="15" hidden="false" customHeight="false" outlineLevel="0" collapsed="false">
      <c r="A64" s="11" t="s">
        <v>478</v>
      </c>
      <c r="B64" s="9" t="n">
        <v>1</v>
      </c>
      <c r="C64" s="9" t="s">
        <v>782</v>
      </c>
      <c r="D64" s="9" t="s">
        <v>66</v>
      </c>
    </row>
    <row r="65" customFormat="false" ht="15" hidden="false" customHeight="false" outlineLevel="0" collapsed="false">
      <c r="A65" s="11" t="s">
        <v>804</v>
      </c>
      <c r="B65" s="9" t="n">
        <v>1</v>
      </c>
      <c r="C65" s="9" t="s">
        <v>785</v>
      </c>
      <c r="D65" s="9" t="s">
        <v>66</v>
      </c>
    </row>
    <row r="66" customFormat="false" ht="15" hidden="false" customHeight="false" outlineLevel="0" collapsed="false">
      <c r="A66" s="11" t="s">
        <v>805</v>
      </c>
      <c r="B66" s="9" t="n">
        <v>1</v>
      </c>
      <c r="C66" s="9" t="s">
        <v>785</v>
      </c>
      <c r="D66" s="9" t="s">
        <v>66</v>
      </c>
    </row>
    <row r="67" customFormat="false" ht="15" hidden="false" customHeight="false" outlineLevel="0" collapsed="false">
      <c r="A67" s="11" t="s">
        <v>806</v>
      </c>
      <c r="B67" s="9" t="n">
        <v>1</v>
      </c>
      <c r="C67" s="9" t="s">
        <v>785</v>
      </c>
      <c r="D67" s="9" t="s">
        <v>66</v>
      </c>
    </row>
    <row r="68" customFormat="false" ht="15" hidden="false" customHeight="false" outlineLevel="0" collapsed="false">
      <c r="A68" s="11" t="s">
        <v>497</v>
      </c>
      <c r="B68" s="9" t="n">
        <v>1</v>
      </c>
      <c r="C68" s="9" t="s">
        <v>785</v>
      </c>
      <c r="D68" s="9" t="s">
        <v>66</v>
      </c>
    </row>
    <row r="69" customFormat="false" ht="15" hidden="false" customHeight="false" outlineLevel="0" collapsed="false">
      <c r="A69" s="11" t="s">
        <v>807</v>
      </c>
      <c r="B69" s="9" t="n">
        <v>1</v>
      </c>
      <c r="C69" s="9" t="s">
        <v>785</v>
      </c>
      <c r="D69" s="9" t="s">
        <v>66</v>
      </c>
    </row>
    <row r="70" customFormat="false" ht="15" hidden="false" customHeight="false" outlineLevel="0" collapsed="false">
      <c r="A70" s="11" t="s">
        <v>808</v>
      </c>
      <c r="B70" s="9" t="n">
        <v>1</v>
      </c>
      <c r="C70" s="9" t="s">
        <v>785</v>
      </c>
      <c r="D70" s="9" t="s">
        <v>66</v>
      </c>
    </row>
    <row r="71" customFormat="false" ht="15" hidden="false" customHeight="false" outlineLevel="0" collapsed="false">
      <c r="A71" s="11" t="s">
        <v>809</v>
      </c>
      <c r="B71" s="9" t="n">
        <v>1</v>
      </c>
      <c r="C71" s="9" t="s">
        <v>785</v>
      </c>
      <c r="D71" s="9" t="s">
        <v>66</v>
      </c>
    </row>
    <row r="72" customFormat="false" ht="15" hidden="false" customHeight="false" outlineLevel="0" collapsed="false">
      <c r="A72" s="11" t="s">
        <v>508</v>
      </c>
      <c r="B72" s="9" t="n">
        <v>1</v>
      </c>
      <c r="C72" s="9" t="s">
        <v>784</v>
      </c>
      <c r="D72" s="9" t="s">
        <v>66</v>
      </c>
    </row>
    <row r="73" customFormat="false" ht="15" hidden="false" customHeight="false" outlineLevel="0" collapsed="false">
      <c r="A73" s="11" t="s">
        <v>810</v>
      </c>
      <c r="B73" s="9" t="n">
        <v>1</v>
      </c>
      <c r="C73" s="9" t="s">
        <v>785</v>
      </c>
      <c r="D73" s="9" t="s">
        <v>66</v>
      </c>
    </row>
    <row r="74" customFormat="false" ht="15" hidden="false" customHeight="false" outlineLevel="0" collapsed="false">
      <c r="A74" s="11" t="s">
        <v>811</v>
      </c>
      <c r="B74" s="9" t="n">
        <v>1</v>
      </c>
      <c r="C74" s="9" t="s">
        <v>784</v>
      </c>
      <c r="D74" s="9" t="s">
        <v>66</v>
      </c>
    </row>
    <row r="75" customFormat="false" ht="15" hidden="false" customHeight="false" outlineLevel="0" collapsed="false">
      <c r="A75" s="11" t="s">
        <v>519</v>
      </c>
      <c r="B75" s="9" t="n">
        <v>1</v>
      </c>
      <c r="C75" s="9" t="s">
        <v>784</v>
      </c>
      <c r="D75" s="9" t="s">
        <v>66</v>
      </c>
    </row>
    <row r="76" customFormat="false" ht="15" hidden="false" customHeight="false" outlineLevel="0" collapsed="false">
      <c r="A76" s="11" t="s">
        <v>522</v>
      </c>
      <c r="B76" s="9" t="n">
        <v>1</v>
      </c>
      <c r="C76" s="9" t="s">
        <v>784</v>
      </c>
      <c r="D76" s="9" t="s">
        <v>66</v>
      </c>
    </row>
    <row r="77" customFormat="false" ht="15" hidden="false" customHeight="false" outlineLevel="0" collapsed="false">
      <c r="A77" s="11" t="s">
        <v>812</v>
      </c>
      <c r="B77" s="9" t="n">
        <v>1</v>
      </c>
      <c r="C77" s="9" t="s">
        <v>785</v>
      </c>
      <c r="D77" s="9" t="s">
        <v>66</v>
      </c>
    </row>
    <row r="78" customFormat="false" ht="15" hidden="false" customHeight="false" outlineLevel="0" collapsed="false">
      <c r="A78" s="11" t="s">
        <v>813</v>
      </c>
      <c r="B78" s="9" t="n">
        <v>1</v>
      </c>
      <c r="C78" s="9" t="s">
        <v>785</v>
      </c>
      <c r="D78" s="9" t="s">
        <v>66</v>
      </c>
    </row>
    <row r="79" customFormat="false" ht="15" hidden="false" customHeight="false" outlineLevel="0" collapsed="false">
      <c r="A79" s="11" t="s">
        <v>814</v>
      </c>
      <c r="B79" s="9" t="n">
        <v>1</v>
      </c>
      <c r="C79" s="9" t="s">
        <v>785</v>
      </c>
      <c r="D79" s="9" t="s">
        <v>66</v>
      </c>
    </row>
    <row r="80" customFormat="false" ht="15" hidden="false" customHeight="false" outlineLevel="0" collapsed="false">
      <c r="A80" s="11" t="s">
        <v>815</v>
      </c>
      <c r="B80" s="9" t="n">
        <v>1</v>
      </c>
      <c r="C80" s="9" t="s">
        <v>785</v>
      </c>
      <c r="D80" s="9" t="s">
        <v>66</v>
      </c>
    </row>
    <row r="81" customFormat="false" ht="15" hidden="false" customHeight="false" outlineLevel="0" collapsed="false">
      <c r="A81" s="11" t="s">
        <v>816</v>
      </c>
      <c r="B81" s="9" t="n">
        <v>1</v>
      </c>
      <c r="C81" s="9" t="s">
        <v>785</v>
      </c>
      <c r="D81" s="9" t="s">
        <v>66</v>
      </c>
    </row>
    <row r="82" customFormat="false" ht="15" hidden="false" customHeight="false" outlineLevel="0" collapsed="false">
      <c r="A82" s="11" t="s">
        <v>554</v>
      </c>
      <c r="B82" s="9" t="n">
        <v>1</v>
      </c>
      <c r="C82" s="9" t="s">
        <v>785</v>
      </c>
      <c r="D82" s="9" t="s">
        <v>66</v>
      </c>
    </row>
    <row r="83" customFormat="false" ht="15" hidden="false" customHeight="false" outlineLevel="0" collapsed="false">
      <c r="A83" s="11" t="s">
        <v>817</v>
      </c>
      <c r="B83" s="9" t="n">
        <v>1</v>
      </c>
      <c r="C83" s="9" t="s">
        <v>785</v>
      </c>
      <c r="D83" s="9" t="s">
        <v>66</v>
      </c>
    </row>
    <row r="84" customFormat="false" ht="15" hidden="false" customHeight="false" outlineLevel="0" collapsed="false">
      <c r="A84" s="11" t="s">
        <v>818</v>
      </c>
      <c r="B84" s="9" t="n">
        <v>1</v>
      </c>
      <c r="C84" s="9" t="s">
        <v>785</v>
      </c>
      <c r="D84" s="9" t="s">
        <v>66</v>
      </c>
    </row>
    <row r="85" customFormat="false" ht="15" hidden="false" customHeight="false" outlineLevel="0" collapsed="false">
      <c r="A85" s="11" t="s">
        <v>574</v>
      </c>
      <c r="B85" s="9" t="n">
        <v>1</v>
      </c>
      <c r="C85" s="9" t="s">
        <v>785</v>
      </c>
      <c r="D85" s="9" t="s">
        <v>66</v>
      </c>
    </row>
    <row r="86" customFormat="false" ht="15" hidden="false" customHeight="false" outlineLevel="0" collapsed="false">
      <c r="A86" s="11" t="s">
        <v>579</v>
      </c>
      <c r="B86" s="9" t="n">
        <v>1</v>
      </c>
      <c r="C86" s="9" t="s">
        <v>785</v>
      </c>
      <c r="D86" s="9" t="s">
        <v>66</v>
      </c>
    </row>
    <row r="87" customFormat="false" ht="15" hidden="false" customHeight="false" outlineLevel="0" collapsed="false">
      <c r="A87" s="11" t="s">
        <v>584</v>
      </c>
      <c r="B87" s="9" t="n">
        <v>1</v>
      </c>
      <c r="C87" s="9" t="s">
        <v>785</v>
      </c>
      <c r="D87" s="9" t="s">
        <v>66</v>
      </c>
    </row>
    <row r="88" customFormat="false" ht="15" hidden="false" customHeight="false" outlineLevel="0" collapsed="false">
      <c r="A88" s="11" t="s">
        <v>589</v>
      </c>
      <c r="B88" s="9" t="n">
        <v>1</v>
      </c>
      <c r="C88" s="9" t="s">
        <v>785</v>
      </c>
      <c r="D88" s="9" t="s">
        <v>66</v>
      </c>
    </row>
    <row r="89" customFormat="false" ht="15" hidden="false" customHeight="false" outlineLevel="0" collapsed="false">
      <c r="A89" s="11" t="s">
        <v>595</v>
      </c>
      <c r="B89" s="9" t="n">
        <v>1</v>
      </c>
      <c r="C89" s="9" t="s">
        <v>785</v>
      </c>
      <c r="D89" s="9" t="s">
        <v>66</v>
      </c>
    </row>
    <row r="90" customFormat="false" ht="15" hidden="false" customHeight="false" outlineLevel="0" collapsed="false">
      <c r="A90" s="11" t="s">
        <v>601</v>
      </c>
      <c r="B90" s="9" t="n">
        <v>1</v>
      </c>
      <c r="C90" s="9" t="s">
        <v>785</v>
      </c>
      <c r="D90" s="9" t="s">
        <v>66</v>
      </c>
    </row>
    <row r="91" customFormat="false" ht="15" hidden="false" customHeight="false" outlineLevel="0" collapsed="false">
      <c r="A91" s="11" t="s">
        <v>606</v>
      </c>
      <c r="B91" s="9" t="n">
        <v>1</v>
      </c>
      <c r="C91" s="9" t="s">
        <v>785</v>
      </c>
      <c r="D91" s="9" t="s">
        <v>66</v>
      </c>
    </row>
    <row r="92" customFormat="false" ht="15" hidden="false" customHeight="false" outlineLevel="0" collapsed="false">
      <c r="A92" s="11" t="s">
        <v>610</v>
      </c>
      <c r="B92" s="9" t="n">
        <v>1</v>
      </c>
      <c r="C92" s="9" t="s">
        <v>785</v>
      </c>
      <c r="D92" s="9" t="s">
        <v>66</v>
      </c>
    </row>
    <row r="93" customFormat="false" ht="15" hidden="false" customHeight="false" outlineLevel="0" collapsed="false">
      <c r="A93" s="11" t="s">
        <v>617</v>
      </c>
      <c r="B93" s="9" t="n">
        <v>1</v>
      </c>
      <c r="C93" s="9" t="s">
        <v>785</v>
      </c>
      <c r="D93" s="9" t="s">
        <v>66</v>
      </c>
    </row>
    <row r="94" customFormat="false" ht="15" hidden="false" customHeight="false" outlineLevel="0" collapsed="false">
      <c r="A94" s="11" t="s">
        <v>624</v>
      </c>
      <c r="B94" s="9" t="n">
        <v>1</v>
      </c>
      <c r="C94" s="9" t="s">
        <v>785</v>
      </c>
      <c r="D94" s="9" t="s">
        <v>66</v>
      </c>
    </row>
    <row r="95" customFormat="false" ht="15" hidden="false" customHeight="false" outlineLevel="0" collapsed="false">
      <c r="A95" s="11" t="s">
        <v>630</v>
      </c>
      <c r="B95" s="9" t="n">
        <v>1</v>
      </c>
      <c r="C95" s="9" t="s">
        <v>785</v>
      </c>
      <c r="D95" s="9" t="s">
        <v>66</v>
      </c>
    </row>
    <row r="96" customFormat="false" ht="15" hidden="false" customHeight="false" outlineLevel="0" collapsed="false">
      <c r="A96" s="11" t="s">
        <v>636</v>
      </c>
      <c r="B96" s="9" t="n">
        <v>1</v>
      </c>
      <c r="C96" s="9" t="s">
        <v>785</v>
      </c>
      <c r="D96" s="9" t="s">
        <v>66</v>
      </c>
    </row>
    <row r="97" customFormat="false" ht="15" hidden="false" customHeight="false" outlineLevel="0" collapsed="false">
      <c r="A97" s="11" t="s">
        <v>640</v>
      </c>
      <c r="B97" s="9" t="n">
        <v>1</v>
      </c>
      <c r="C97" s="9" t="s">
        <v>785</v>
      </c>
      <c r="D97" s="9" t="s">
        <v>66</v>
      </c>
    </row>
    <row r="98" customFormat="false" ht="15" hidden="false" customHeight="false" outlineLevel="0" collapsed="false">
      <c r="A98" s="11" t="s">
        <v>646</v>
      </c>
      <c r="B98" s="9" t="n">
        <v>1</v>
      </c>
      <c r="C98" s="9" t="s">
        <v>785</v>
      </c>
      <c r="D98" s="9" t="s">
        <v>66</v>
      </c>
    </row>
    <row r="99" customFormat="false" ht="15" hidden="false" customHeight="false" outlineLevel="0" collapsed="false">
      <c r="A99" s="11" t="s">
        <v>652</v>
      </c>
      <c r="B99" s="9" t="n">
        <v>1</v>
      </c>
      <c r="C99" s="9" t="s">
        <v>785</v>
      </c>
      <c r="D99" s="9" t="s">
        <v>66</v>
      </c>
    </row>
    <row r="100" customFormat="false" ht="15" hidden="false" customHeight="false" outlineLevel="0" collapsed="false">
      <c r="A100" s="11" t="s">
        <v>819</v>
      </c>
      <c r="B100" s="9" t="n">
        <v>1</v>
      </c>
      <c r="C100" s="9" t="s">
        <v>785</v>
      </c>
      <c r="D100" s="9" t="s">
        <v>66</v>
      </c>
    </row>
    <row r="101" customFormat="false" ht="15" hidden="false" customHeight="false" outlineLevel="0" collapsed="false">
      <c r="A101" s="11" t="s">
        <v>820</v>
      </c>
      <c r="B101" s="9" t="n">
        <v>1</v>
      </c>
      <c r="C101" s="9" t="s">
        <v>785</v>
      </c>
      <c r="D101" s="9" t="s">
        <v>66</v>
      </c>
    </row>
    <row r="102" customFormat="false" ht="15" hidden="false" customHeight="false" outlineLevel="0" collapsed="false">
      <c r="A102" s="11" t="s">
        <v>821</v>
      </c>
      <c r="B102" s="9" t="n">
        <v>1</v>
      </c>
      <c r="C102" s="9" t="s">
        <v>785</v>
      </c>
      <c r="D102" s="9" t="s">
        <v>66</v>
      </c>
    </row>
    <row r="103" customFormat="false" ht="15" hidden="false" customHeight="false" outlineLevel="0" collapsed="false">
      <c r="A103" s="11" t="s">
        <v>683</v>
      </c>
      <c r="B103" s="9" t="n">
        <v>1</v>
      </c>
      <c r="C103" s="9" t="s">
        <v>782</v>
      </c>
      <c r="D103" s="9" t="s">
        <v>66</v>
      </c>
    </row>
    <row r="104" customFormat="false" ht="15" hidden="false" customHeight="false" outlineLevel="0" collapsed="false">
      <c r="A104" s="11" t="s">
        <v>686</v>
      </c>
      <c r="B104" s="9" t="n">
        <v>1</v>
      </c>
      <c r="C104" s="9" t="s">
        <v>785</v>
      </c>
      <c r="D104" s="9" t="s">
        <v>66</v>
      </c>
    </row>
    <row r="105" customFormat="false" ht="15" hidden="false" customHeight="false" outlineLevel="0" collapsed="false">
      <c r="A105" s="11" t="s">
        <v>692</v>
      </c>
      <c r="B105" s="9" t="n">
        <v>1</v>
      </c>
      <c r="C105" s="9" t="s">
        <v>822</v>
      </c>
      <c r="D105" s="9" t="s">
        <v>66</v>
      </c>
    </row>
    <row r="107" customFormat="false" ht="15" hidden="false" customHeight="false" outlineLevel="0" collapsed="false">
      <c r="A107" s="12" t="s">
        <v>823</v>
      </c>
    </row>
    <row r="108" customFormat="false" ht="15" hidden="false" customHeight="false" outlineLevel="0" collapsed="false">
      <c r="A108" s="9" t="s">
        <v>824</v>
      </c>
      <c r="C108" s="11" t="s">
        <v>825</v>
      </c>
    </row>
    <row r="109" customFormat="false" ht="15" hidden="false" customHeight="false" outlineLevel="0" collapsed="false">
      <c r="A109" s="9" t="s">
        <v>826</v>
      </c>
      <c r="C109" s="11" t="s">
        <v>825</v>
      </c>
    </row>
    <row r="110" customFormat="false" ht="15" hidden="false" customHeight="false" outlineLevel="0" collapsed="false">
      <c r="A110" s="9" t="s">
        <v>827</v>
      </c>
      <c r="C110" s="11" t="s">
        <v>825</v>
      </c>
    </row>
    <row r="111" customFormat="false" ht="15" hidden="false" customHeight="false" outlineLevel="0" collapsed="false">
      <c r="A111" s="9" t="s">
        <v>828</v>
      </c>
      <c r="C111" s="11" t="s">
        <v>825</v>
      </c>
    </row>
    <row r="112" customFormat="false" ht="15" hidden="false" customHeight="false" outlineLevel="0" collapsed="false">
      <c r="A112" s="9" t="s">
        <v>829</v>
      </c>
      <c r="C112" s="11" t="s">
        <v>825</v>
      </c>
    </row>
    <row r="113" customFormat="false" ht="15" hidden="false" customHeight="false" outlineLevel="0" collapsed="false">
      <c r="A113" s="9" t="s">
        <v>830</v>
      </c>
      <c r="C113" s="11" t="s">
        <v>825</v>
      </c>
    </row>
    <row r="114" customFormat="false" ht="15" hidden="false" customHeight="false" outlineLevel="0" collapsed="false">
      <c r="A114" s="9" t="s">
        <v>831</v>
      </c>
      <c r="C114" s="11" t="s">
        <v>825</v>
      </c>
    </row>
    <row r="116" customFormat="false" ht="15" hidden="false" customHeight="false" outlineLevel="0" collapsed="false">
      <c r="A116" s="13" t="s">
        <v>832</v>
      </c>
    </row>
  </sheetData>
  <hyperlinks>
    <hyperlink ref="A2" r:id="rId1" display="https://www.expat.com/en/forum/middle-east/saudi-arabia/khobar/778968-list-of-some-compounds-in-al-khobar-ksa.html"/>
    <hyperlink ref="A3" r:id="rId2" display="https://whichschooladvisor.com/saudi/area-guide/eastern-province/al-khobar"/>
    <hyperlink ref="A4" r:id="rId3" display="https://www.propertyfinder.sa/blog/%D9%83%D9%85%D8%A8%D9%88%D9%86%D8%AF%D8%A7%D8%AA-%D8%A7%D9%84%D8%AE%D8%A8%D8%B1-%D9%85%D8%AC%D9%85%D8%B9%D8%A7%D8%AA-%D8%B3%D9%83%D9%86%D9%8A%D8%A9-%D8%B9%D8%A7%D9%84%D9%85%D9%8A%D8%A9-%D8%B9%D9%84/"/>
    <hyperlink ref="A5" r:id="rId4" display="https://www.darwaemaar.com/"/>
    <hyperlink ref="A6" r:id="rId5" display="https://rightcompound.com/compounds/khobar/canary-village"/>
    <hyperlink ref="A7" r:id="rId6" display="https://www.canaryvillage.com/"/>
    <hyperlink ref="A8" r:id="rId7" display="https://compoundin.com/compounds/khobar/canary-vista"/>
    <hyperlink ref="A9" r:id="rId8" display="https://canary-vista.com/"/>
    <hyperlink ref="A10" r:id="rId9" display="https://soulofsaudi.com/best-compounds-in-saudi-arabia-for-expats/"/>
    <hyperlink ref="A11" r:id="rId10" display="https://www.eurovillage.sa/contact/"/>
    <hyperlink ref="A12" r:id="rId11" display="https://www.lasdunas-sa.com/"/>
    <hyperlink ref="A13" r:id="rId12" display="https://rightcompound.com/compounds/khobar/riviera-waterfront-village"/>
    <hyperlink ref="A14" r:id="rId13" display="https://www.rivieracompound.com/"/>
    <hyperlink ref="A15" r:id="rId14" display="https://rightcompound.com/compounds/khobar/mohamadia-compound"/>
    <hyperlink ref="A16" r:id="rId15" display="https://www.al-othman.com/ar/al-mohamadia-compound"/>
    <hyperlink ref="A17" r:id="rId16" display="https://rightcompound.com/compounds/khobar/zamil-village-residential-compound"/>
    <hyperlink ref="A18" r:id="rId17" display="https://zamilrealestate.com/en"/>
    <hyperlink ref="A19" r:id="rId18" display="https://rightcompound.com/compounds/khobar/al-wadi-village"/>
    <hyperlink ref="A20" r:id="rId19" display="https://rightcompound.com/compounds/khobar/arabian-homes-al-khobar"/>
    <hyperlink ref="A21" r:id="rId20" display="https://rightcompound.com/compounds/khobar/retal-residence"/>
    <hyperlink ref="A22" r:id="rId21" display="https://compoundin.com/rent/listing/1/0/0-0"/>
    <hyperlink ref="A23" r:id="rId22" display="https://www.retalresidence.com/"/>
    <hyperlink ref="A24" r:id="rId23" display="https://www.grandvillage.com.sa/"/>
    <hyperlink ref="A25" r:id="rId24" display="https://rightcompound.com/compounds/khobar/alef-compound"/>
    <hyperlink ref="A26" r:id="rId25" display="https://alef-home.com/"/>
    <hyperlink ref="A27" r:id="rId26" display="https://rightcompound.com/compounds/khobar/al-ansary-compound"/>
    <hyperlink ref="A28" r:id="rId27" display="https://alansari.com.sa/contact-us/"/>
    <hyperlink ref="A29" r:id="rId28" display="https://rightcompound.com/compounds/khobar/al-ansari-compound-two-al-khobar"/>
    <hyperlink ref="A30" r:id="rId29" display="https://rightcompound.com/compounds/khobar/black-pearl-residential-compound"/>
    <hyperlink ref="A31" r:id="rId30" display="https://www.aswadgroup.com/info/al-aswad-compound"/>
    <hyperlink ref="A32" r:id="rId31" display="https://rightcompound.com/compounds/khobar/jzala-residential-compound-i"/>
    <hyperlink ref="A33" r:id="rId32" display="https://rightcompound.com/compounds/khobar/alfares-compound"/>
    <hyperlink ref="A34" r:id="rId33" display="https://rightcompound.com/compounds/khobar/sea-shore-compound"/>
    <hyperlink ref="A35" r:id="rId34" display="https://rightcompound.com/compounds/khobar/saraya-al-olaya-residential-tower"/>
    <hyperlink ref="A36" r:id="rId35" display="https://rightcompound.com/compounds/khobar/saraya-al-rawabi-complex"/>
    <hyperlink ref="A37" r:id="rId36" display="https://rightcompound.com/compounds/khobar/refad-compound"/>
    <hyperlink ref="A38" r:id="rId37" display="https://compoundin.com/compounds/khobar/refad-compound"/>
    <hyperlink ref="A39" r:id="rId38" display="https://rightcompound.com/compounds/khobar/palm-springs-compound"/>
    <hyperlink ref="A40" r:id="rId39" display="https://rightcompound.com/compounds/khobar/dana-beach-resort"/>
    <hyperlink ref="A41" r:id="rId40" display="https://rightcompound.com/compounds/khobar/green-park-lifestyle-residence-compound"/>
    <hyperlink ref="A42" r:id="rId41" display="https://rightcompound.com/compounds/khobar/marissa-elite-compound-dhahran"/>
    <hyperlink ref="A43" r:id="rId42" display="https://rightcompound.com/compounds/khobar/le-ruya"/>
    <hyperlink ref="A44" r:id="rId43" display="https://rightcompound.com/compounds/khobar/south-park-compound"/>
    <hyperlink ref="A45" r:id="rId44" display="https://rightcompound.com/compounds/khobar/loay-compound"/>
    <hyperlink ref="A46" r:id="rId45" display="https://rightcompound.com/compounds/khobar/al-riyadh-compound"/>
    <hyperlink ref="A47" r:id="rId46" display="https://rightcompound.com/compounds/khobar/al-safa-homes-compound"/>
    <hyperlink ref="A48" r:id="rId47" display="https://rightcompound.com/compounds/khobar/al-sharq-homes-compound"/>
    <hyperlink ref="A49" r:id="rId48" display="https://rightcompound.com/compounds/khobar/al-yasmeen-homes-compound"/>
    <hyperlink ref="A50" r:id="rId49" display="https://rightcompound.com/compounds/khobar/saeed-residential-compound-1"/>
    <hyperlink ref="A51" r:id="rId50" display="https://rightcompound.com/compounds/khobar/al-shablan-compounds"/>
    <hyperlink ref="A52" r:id="rId51" display="https://rightcompound.com/compounds/khobar/opal-compound"/>
    <hyperlink ref="A53" r:id="rId52" display="https://rightcompound.com/compounds/khobar/sedar-village-compound"/>
    <hyperlink ref="A54" r:id="rId53" display="https://rightcompound.com/compounds/khobar/karawan-compound"/>
    <hyperlink ref="A55" r:id="rId54" display="https://rightcompound.com/compounds/khobar/gulf-pearl-compound-2"/>
    <hyperlink ref="A56" r:id="rId55" display="https://rightcompound.com/compounds/khobar/jouri-homes"/>
    <hyperlink ref="A57" r:id="rId56" display="https://rightcompound.com/compounds/khobar/al-rashid-residence-towers"/>
    <hyperlink ref="A58" r:id="rId57" display="https://compoundin.com/compounds/khobar/al-rashid-residence-towers"/>
    <hyperlink ref="A59" r:id="rId58" display="https://rightcompound.com/compounds/khobar/alrashid-residence"/>
    <hyperlink ref="A60" r:id="rId59" display="https://rightcompound.com/compounds/khobar/oasis-gardens-compound-al-khobar"/>
    <hyperlink ref="A61" r:id="rId60" display="https://oasiscompounds.com/oasisgardens/contact/"/>
    <hyperlink ref="A62" r:id="rId61" display="https://rightcompound.com/compounds/khobar/oasis-resorts"/>
    <hyperlink ref="A63" r:id="rId62" display="https://gardens.oasiscompounds.com/oasisresorts/contact/"/>
    <hyperlink ref="A64" r:id="rId63" display="https://www.expat.com/en/forum/middle-east/saudi-arabia/khobar/870355-al-bustan-compound-or-oasis-garden-in-al-khobar-eastern-province.html"/>
    <hyperlink ref="A65" r:id="rId64" display="https://rightcompound.com/compounds/khobar/dana--nada-compounds"/>
    <hyperlink ref="A66" r:id="rId65" display="https://compoundin.com/compounds/khobar/al-danah-al-nadah-compounds"/>
    <hyperlink ref="A67" r:id="rId66" display="https://rightcompound.com/compounds/khobar/desert-rose-compound-al-khobar"/>
    <hyperlink ref="A68" r:id="rId67" display="https://rightcompound.com/compounds/khobar/desert-rose-apartments-compound"/>
    <hyperlink ref="A69" r:id="rId68" display="https://rightcompound.com/compounds/khobar/the-pearl-residential-compound"/>
    <hyperlink ref="A70" r:id="rId69" display="https://rightcompound.com/compounds/khobar/ronda-residence-compound"/>
    <hyperlink ref="A71" r:id="rId70" display="https://compoundin.com/compounds/khobar/ronda-residence"/>
    <hyperlink ref="A72" r:id="rId71" display="http://www.rondaco.com/"/>
    <hyperlink ref="A73" r:id="rId72" display="https://rightcompound.com/compounds/khobar/rima-residence"/>
    <hyperlink ref="A74" r:id="rId73" display="https://www.saudiayp.com/company/247717/Rima_Residence"/>
    <hyperlink ref="A75" r:id="rId74" display="https://www.rimaresidence.com/"/>
    <hyperlink ref="A76" r:id="rId75" display="https://www.facebook.com/RimaResidence/"/>
    <hyperlink ref="A77" r:id="rId76" display="https://rightcompound.com/compounds/khobar/al-rawabi-pearl-complex"/>
    <hyperlink ref="A78" r:id="rId77" display="https://compoundin.com/compounds/khobar/rawabi-pearl-compound"/>
    <hyperlink ref="A79" r:id="rId78" display="https://rightcompound.com/compounds/khobar/gulf-homes-compound"/>
    <hyperlink ref="A80" r:id="rId79" display="https://rightcompound.com/compounds/khobar/the-vertical-village-compound"/>
    <hyperlink ref="A81" r:id="rId80" display="https://rightcompound.com/compounds/khobar/al-ferdouse"/>
    <hyperlink ref="A82" r:id="rId81" display="https://rightcompound.com/compounds/khobar/durrat-al-khaleej-compound"/>
    <hyperlink ref="A83" r:id="rId82" display="https://rightcompound.com/compounds/khobar/nouf-compound"/>
    <hyperlink ref="A84" r:id="rId83" display="https://rightcompound.com/compounds/khobar/medo-park-compound-al-khobar"/>
    <hyperlink ref="A85" r:id="rId84" display="https://rightcompound.com/compounds/khobar/nasamat-residential-complex"/>
    <hyperlink ref="A86" r:id="rId85" display="https://rightcompound.com/compounds/khobar/al-nawras-residential-compound"/>
    <hyperlink ref="A87" r:id="rId86" display="https://rightcompound.com/compounds/khobar/al-bilad-compound"/>
    <hyperlink ref="A88" r:id="rId87" display="https://rightcompound.com/compounds/khobar/al-falak-compound"/>
    <hyperlink ref="A89" r:id="rId88" display="https://rightcompound.com/compounds/khobar/al-khobar-views-complex"/>
    <hyperlink ref="A90" r:id="rId89" display="https://rightcompound.com/compounds/khobar/alreemah-village"/>
    <hyperlink ref="A91" r:id="rId90" display="https://rightcompound.com/compounds/khobar/azhar-residences-compound"/>
    <hyperlink ref="A92" r:id="rId91" display="https://rightcompound.com/compounds/khobar/daar-residence-compound-al-khobar"/>
    <hyperlink ref="A93" r:id="rId92" display="https://rightcompound.com/compounds/khobar/dewan-al-jazirah-compound"/>
    <hyperlink ref="A94" r:id="rId93" display="https://rightcompound.com/compounds/khobar/jadawel-compound"/>
    <hyperlink ref="A95" r:id="rId94" display="https://rightcompound.com/compounds/khobar/marbella-compound"/>
    <hyperlink ref="A96" r:id="rId95" display="https://rightcompound.com/compounds/khobar/mira-mar-residential-compound"/>
    <hyperlink ref="A97" r:id="rId96" display="https://rightcompound.com/compounds/khobar/sanus-compound"/>
    <hyperlink ref="A98" r:id="rId97" display="https://rightcompound.com/compounds/khobar/shahla-residential-compound"/>
    <hyperlink ref="A99" r:id="rId98" display="https://rightcompound.com/compounds/khobar/verona-villas"/>
    <hyperlink ref="A100" r:id="rId99" display="https://rightcompound.com/compounds/khobar/residence-complex"/>
    <hyperlink ref="A101" r:id="rId100" display="https://rightcompound.com/compounds/khobar/ajdan-rise-tower"/>
    <hyperlink ref="A102" r:id="rId101" display="https://rightcompound.com/compounds/khobar/tanmia"/>
    <hyperlink ref="A103" r:id="rId102" display="https://www.expat.com/en/forum/middle-east/saudi-arabia/khobar/1043703-sara-village-compound-bae-al-khobar.html"/>
    <hyperlink ref="A104" r:id="rId103" display="https://compoundin.com/compounds/khobar/al-subeaei-towers"/>
    <hyperlink ref="A105" r:id="rId104" display="https://ae.trip.com/hotels/al-khobar-hotel-detail-96255647/hy-compound-hy-compound"/>
    <hyperlink ref="C108" r:id="rId105" display="source"/>
    <hyperlink ref="C109" r:id="rId106" display="source"/>
    <hyperlink ref="C110" r:id="rId107" display="source"/>
    <hyperlink ref="C111" r:id="rId108" display="source"/>
    <hyperlink ref="C112" r:id="rId109" display="source"/>
    <hyperlink ref="C113" r:id="rId110" display="source"/>
    <hyperlink ref="C114" r:id="rId111" display="sour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2026-10-11T14:03:57Z</dcterms:created>
  <dc:creator>openpyxl</dc:creator>
  <dc:description/>
  <dc:language>en-US</dc:language>
  <cp:lastModifiedBy/>
  <dcterms:modified xsi:type="dcterms:W3CDTF">2026-10-11T14:03:58Z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